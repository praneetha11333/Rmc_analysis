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e8879688a1edc3/Desktop/Projects/"/>
    </mc:Choice>
  </mc:AlternateContent>
  <xr:revisionPtr revIDLastSave="425" documentId="8_{B35DA5FA-4E0F-4473-B7DD-663C0A3BBCFE}" xr6:coauthVersionLast="47" xr6:coauthVersionMax="47" xr10:uidLastSave="{0F85E205-8D08-423D-92B9-D9AA5B62580A}"/>
  <bookViews>
    <workbookView xWindow="-108" yWindow="-108" windowWidth="23256" windowHeight="13176" xr2:uid="{59A3E386-C600-431D-9172-261E17171100}"/>
  </bookViews>
  <sheets>
    <sheet name="Prediction" sheetId="1" r:id="rId1"/>
    <sheet name="Data" sheetId="2" r:id="rId2"/>
    <sheet name="Customer Classification" sheetId="6" r:id="rId3"/>
    <sheet name="Sheet1" sheetId="7" r:id="rId4"/>
    <sheet name="Transit Mixers" sheetId="3" r:id="rId5"/>
  </sheets>
  <calcPr calcId="191029"/>
  <pivotCaches>
    <pivotCache cacheId="0" r:id="rId6"/>
    <pivotCache cacheId="1" r:id="rId7"/>
    <pivotCache cacheId="2" r:id="rId8"/>
    <pivotCache cacheId="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6" l="1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2" i="6"/>
  <c r="T4" i="6"/>
  <c r="T5" i="6" s="1"/>
  <c r="T6" i="6" s="1"/>
  <c r="T7" i="6" s="1"/>
  <c r="T8" i="6" s="1"/>
  <c r="T9" i="6" s="1"/>
  <c r="T10" i="6" s="1"/>
  <c r="T11" i="6" s="1"/>
  <c r="T12" i="6" s="1"/>
  <c r="T13" i="6" s="1"/>
  <c r="T14" i="6" s="1"/>
  <c r="T15" i="6" s="1"/>
  <c r="T16" i="6" s="1"/>
  <c r="T17" i="6" s="1"/>
  <c r="T18" i="6" s="1"/>
  <c r="T19" i="6" s="1"/>
  <c r="T20" i="6" s="1"/>
  <c r="T21" i="6" s="1"/>
  <c r="T22" i="6" s="1"/>
  <c r="T23" i="6" s="1"/>
  <c r="T24" i="6" s="1"/>
  <c r="T25" i="6" s="1"/>
  <c r="T26" i="6" s="1"/>
  <c r="T27" i="6" s="1"/>
  <c r="T28" i="6" s="1"/>
  <c r="T29" i="6" s="1"/>
  <c r="T30" i="6" s="1"/>
  <c r="T31" i="6" s="1"/>
  <c r="T32" i="6" s="1"/>
  <c r="T33" i="6" s="1"/>
  <c r="T34" i="6" s="1"/>
  <c r="T35" i="6" s="1"/>
  <c r="T36" i="6" s="1"/>
  <c r="T37" i="6" s="1"/>
  <c r="T38" i="6" s="1"/>
  <c r="T39" i="6" s="1"/>
  <c r="T40" i="6" s="1"/>
  <c r="T41" i="6" s="1"/>
  <c r="T42" i="6" s="1"/>
  <c r="T43" i="6" s="1"/>
  <c r="T44" i="6" s="1"/>
  <c r="T45" i="6" s="1"/>
  <c r="T46" i="6" s="1"/>
  <c r="T47" i="6" s="1"/>
  <c r="T48" i="6" s="1"/>
  <c r="T49" i="6" s="1"/>
  <c r="T50" i="6" s="1"/>
  <c r="T51" i="6" s="1"/>
  <c r="T52" i="6" s="1"/>
  <c r="T53" i="6" s="1"/>
  <c r="T54" i="6" s="1"/>
  <c r="T55" i="6" s="1"/>
  <c r="T56" i="6" s="1"/>
  <c r="T57" i="6" s="1"/>
  <c r="T58" i="6" s="1"/>
  <c r="T59" i="6" s="1"/>
  <c r="T60" i="6" s="1"/>
  <c r="T61" i="6" s="1"/>
  <c r="T62" i="6" s="1"/>
  <c r="T63" i="6" s="1"/>
  <c r="T64" i="6" s="1"/>
  <c r="T65" i="6" s="1"/>
  <c r="T66" i="6" s="1"/>
  <c r="T67" i="6" s="1"/>
  <c r="T68" i="6" s="1"/>
  <c r="T69" i="6" s="1"/>
  <c r="T70" i="6" s="1"/>
  <c r="T71" i="6" s="1"/>
  <c r="T72" i="6" s="1"/>
  <c r="T73" i="6" s="1"/>
  <c r="T74" i="6" s="1"/>
  <c r="T75" i="6" s="1"/>
  <c r="T76" i="6" s="1"/>
  <c r="T77" i="6" s="1"/>
  <c r="T78" i="6" s="1"/>
  <c r="T79" i="6" s="1"/>
  <c r="T80" i="6" s="1"/>
  <c r="T81" i="6" s="1"/>
  <c r="T82" i="6" s="1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2" i="6"/>
  <c r="L3" i="6"/>
  <c r="N3" i="6" s="1"/>
  <c r="L4" i="6"/>
  <c r="N4" i="6" s="1"/>
  <c r="L5" i="6"/>
  <c r="N5" i="6" s="1"/>
  <c r="L6" i="6"/>
  <c r="N6" i="6" s="1"/>
  <c r="L7" i="6"/>
  <c r="N7" i="6" s="1"/>
  <c r="L8" i="6"/>
  <c r="N8" i="6" s="1"/>
  <c r="L9" i="6"/>
  <c r="N9" i="6" s="1"/>
  <c r="L10" i="6"/>
  <c r="N10" i="6" s="1"/>
  <c r="L11" i="6"/>
  <c r="N11" i="6" s="1"/>
  <c r="L12" i="6"/>
  <c r="N12" i="6" s="1"/>
  <c r="L13" i="6"/>
  <c r="N13" i="6" s="1"/>
  <c r="L14" i="6"/>
  <c r="N14" i="6" s="1"/>
  <c r="L15" i="6"/>
  <c r="N15" i="6" s="1"/>
  <c r="L16" i="6"/>
  <c r="N16" i="6" s="1"/>
  <c r="L17" i="6"/>
  <c r="N17" i="6" s="1"/>
  <c r="L18" i="6"/>
  <c r="N18" i="6" s="1"/>
  <c r="L19" i="6"/>
  <c r="N19" i="6" s="1"/>
  <c r="L20" i="6"/>
  <c r="N20" i="6" s="1"/>
  <c r="L21" i="6"/>
  <c r="N21" i="6" s="1"/>
  <c r="L22" i="6"/>
  <c r="N22" i="6" s="1"/>
  <c r="L23" i="6"/>
  <c r="N23" i="6" s="1"/>
  <c r="L24" i="6"/>
  <c r="N24" i="6" s="1"/>
  <c r="L25" i="6"/>
  <c r="N25" i="6" s="1"/>
  <c r="L26" i="6"/>
  <c r="N26" i="6" s="1"/>
  <c r="L27" i="6"/>
  <c r="N27" i="6" s="1"/>
  <c r="L28" i="6"/>
  <c r="N28" i="6" s="1"/>
  <c r="L29" i="6"/>
  <c r="N29" i="6" s="1"/>
  <c r="L30" i="6"/>
  <c r="N30" i="6" s="1"/>
  <c r="L31" i="6"/>
  <c r="N31" i="6" s="1"/>
  <c r="L32" i="6"/>
  <c r="N32" i="6" s="1"/>
  <c r="L33" i="6"/>
  <c r="N33" i="6" s="1"/>
  <c r="L34" i="6"/>
  <c r="N34" i="6" s="1"/>
  <c r="L35" i="6"/>
  <c r="N35" i="6" s="1"/>
  <c r="L36" i="6"/>
  <c r="N36" i="6" s="1"/>
  <c r="L37" i="6"/>
  <c r="N37" i="6" s="1"/>
  <c r="L38" i="6"/>
  <c r="N38" i="6" s="1"/>
  <c r="L39" i="6"/>
  <c r="N39" i="6" s="1"/>
  <c r="L40" i="6"/>
  <c r="N40" i="6" s="1"/>
  <c r="L41" i="6"/>
  <c r="N41" i="6" s="1"/>
  <c r="L42" i="6"/>
  <c r="N42" i="6" s="1"/>
  <c r="L43" i="6"/>
  <c r="N43" i="6" s="1"/>
  <c r="L44" i="6"/>
  <c r="N44" i="6" s="1"/>
  <c r="L45" i="6"/>
  <c r="N45" i="6" s="1"/>
  <c r="L46" i="6"/>
  <c r="N46" i="6" s="1"/>
  <c r="L47" i="6"/>
  <c r="N47" i="6" s="1"/>
  <c r="L48" i="6"/>
  <c r="N48" i="6" s="1"/>
  <c r="L49" i="6"/>
  <c r="N49" i="6" s="1"/>
  <c r="L50" i="6"/>
  <c r="N50" i="6" s="1"/>
  <c r="L51" i="6"/>
  <c r="N51" i="6" s="1"/>
  <c r="L52" i="6"/>
  <c r="N52" i="6" s="1"/>
  <c r="L53" i="6"/>
  <c r="N53" i="6" s="1"/>
  <c r="L54" i="6"/>
  <c r="N54" i="6" s="1"/>
  <c r="L55" i="6"/>
  <c r="N55" i="6" s="1"/>
  <c r="L56" i="6"/>
  <c r="N56" i="6" s="1"/>
  <c r="L57" i="6"/>
  <c r="N57" i="6" s="1"/>
  <c r="L58" i="6"/>
  <c r="N58" i="6" s="1"/>
  <c r="L59" i="6"/>
  <c r="N59" i="6" s="1"/>
  <c r="L60" i="6"/>
  <c r="N60" i="6" s="1"/>
  <c r="L61" i="6"/>
  <c r="N61" i="6" s="1"/>
  <c r="L62" i="6"/>
  <c r="N62" i="6" s="1"/>
  <c r="L63" i="6"/>
  <c r="N63" i="6" s="1"/>
  <c r="L64" i="6"/>
  <c r="N64" i="6" s="1"/>
  <c r="L65" i="6"/>
  <c r="N65" i="6" s="1"/>
  <c r="L66" i="6"/>
  <c r="N66" i="6" s="1"/>
  <c r="L67" i="6"/>
  <c r="N67" i="6" s="1"/>
  <c r="L68" i="6"/>
  <c r="N68" i="6" s="1"/>
  <c r="L69" i="6"/>
  <c r="N69" i="6" s="1"/>
  <c r="L70" i="6"/>
  <c r="N70" i="6" s="1"/>
  <c r="L71" i="6"/>
  <c r="N71" i="6" s="1"/>
  <c r="L72" i="6"/>
  <c r="N72" i="6" s="1"/>
  <c r="L73" i="6"/>
  <c r="N73" i="6" s="1"/>
  <c r="L74" i="6"/>
  <c r="N74" i="6" s="1"/>
  <c r="L75" i="6"/>
  <c r="N75" i="6" s="1"/>
  <c r="L76" i="6"/>
  <c r="N76" i="6" s="1"/>
  <c r="L77" i="6"/>
  <c r="N77" i="6" s="1"/>
  <c r="L78" i="6"/>
  <c r="N78" i="6" s="1"/>
  <c r="L79" i="6"/>
  <c r="N79" i="6" s="1"/>
  <c r="L80" i="6"/>
  <c r="N80" i="6" s="1"/>
  <c r="L81" i="6"/>
  <c r="N81" i="6" s="1"/>
  <c r="L82" i="6"/>
  <c r="N82" i="6" s="1"/>
  <c r="L2" i="6"/>
  <c r="N2" i="6" s="1"/>
  <c r="O2" i="6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2" i="1"/>
  <c r="S19" i="1"/>
  <c r="S27" i="1" s="1"/>
  <c r="S18" i="1"/>
  <c r="S26" i="1" s="1"/>
  <c r="S20" i="1"/>
  <c r="S28" i="1" s="1"/>
  <c r="S21" i="1"/>
  <c r="S29" i="1" s="1"/>
  <c r="S22" i="1"/>
  <c r="S30" i="1" s="1"/>
  <c r="S17" i="1"/>
  <c r="S25" i="1" s="1"/>
  <c r="R18" i="1"/>
  <c r="R19" i="1"/>
  <c r="R20" i="1"/>
  <c r="R21" i="1"/>
  <c r="R22" i="1"/>
  <c r="R17" i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8" i="1"/>
  <c r="X7" i="1"/>
  <c r="X6" i="1"/>
  <c r="X5" i="1"/>
  <c r="X4" i="1"/>
  <c r="X3" i="1"/>
  <c r="X2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8" i="1"/>
  <c r="V7" i="1"/>
  <c r="V5" i="1"/>
  <c r="V4" i="1"/>
  <c r="V3" i="1"/>
  <c r="V6" i="1"/>
  <c r="V2" i="1"/>
  <c r="T3" i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R10" i="1"/>
  <c r="R9" i="1"/>
  <c r="R3" i="1"/>
  <c r="R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G2" i="1"/>
  <c r="F2" i="1"/>
  <c r="S2" i="6" l="1"/>
  <c r="O4" i="6"/>
  <c r="S4" i="6" s="1"/>
  <c r="O13" i="6"/>
  <c r="S13" i="6" s="1"/>
  <c r="O15" i="6"/>
  <c r="S15" i="6" s="1"/>
  <c r="O16" i="6"/>
  <c r="S16" i="6" s="1"/>
  <c r="O17" i="6"/>
  <c r="S17" i="6" s="1"/>
  <c r="O18" i="6"/>
  <c r="S18" i="6" s="1"/>
  <c r="O19" i="6"/>
  <c r="S19" i="6" s="1"/>
  <c r="O21" i="6"/>
  <c r="S21" i="6" s="1"/>
  <c r="O22" i="6"/>
  <c r="S22" i="6" s="1"/>
  <c r="O24" i="6"/>
  <c r="S24" i="6" s="1"/>
  <c r="O25" i="6"/>
  <c r="S25" i="6" s="1"/>
  <c r="O26" i="6"/>
  <c r="S26" i="6" s="1"/>
  <c r="O28" i="6"/>
  <c r="S28" i="6" s="1"/>
  <c r="O29" i="6"/>
  <c r="S29" i="6" s="1"/>
  <c r="O31" i="6"/>
  <c r="S31" i="6" s="1"/>
  <c r="O32" i="6"/>
  <c r="S32" i="6" s="1"/>
  <c r="O34" i="6"/>
  <c r="S34" i="6" s="1"/>
  <c r="O36" i="6"/>
  <c r="S36" i="6" s="1"/>
  <c r="O37" i="6"/>
  <c r="S37" i="6" s="1"/>
  <c r="O39" i="6"/>
  <c r="S39" i="6" s="1"/>
  <c r="O40" i="6"/>
  <c r="S40" i="6" s="1"/>
  <c r="O42" i="6"/>
  <c r="S42" i="6" s="1"/>
  <c r="O43" i="6"/>
  <c r="S43" i="6" s="1"/>
  <c r="O45" i="6"/>
  <c r="S45" i="6" s="1"/>
  <c r="O47" i="6"/>
  <c r="S47" i="6" s="1"/>
  <c r="O49" i="6"/>
  <c r="S49" i="6" s="1"/>
  <c r="O50" i="6"/>
  <c r="S50" i="6" s="1"/>
  <c r="O52" i="6"/>
  <c r="S52" i="6" s="1"/>
  <c r="O53" i="6"/>
  <c r="S53" i="6" s="1"/>
  <c r="O55" i="6"/>
  <c r="S55" i="6" s="1"/>
  <c r="O57" i="6"/>
  <c r="S57" i="6" s="1"/>
  <c r="O58" i="6"/>
  <c r="S58" i="6" s="1"/>
  <c r="O60" i="6"/>
  <c r="S60" i="6" s="1"/>
  <c r="O61" i="6"/>
  <c r="S61" i="6" s="1"/>
  <c r="O63" i="6"/>
  <c r="S63" i="6" s="1"/>
  <c r="O64" i="6"/>
  <c r="S64" i="6" s="1"/>
  <c r="O66" i="6"/>
  <c r="S66" i="6" s="1"/>
  <c r="O67" i="6"/>
  <c r="S67" i="6" s="1"/>
  <c r="O69" i="6"/>
  <c r="S69" i="6" s="1"/>
  <c r="O71" i="6"/>
  <c r="S71" i="6" s="1"/>
  <c r="O72" i="6"/>
  <c r="S72" i="6" s="1"/>
  <c r="O74" i="6"/>
  <c r="S74" i="6" s="1"/>
  <c r="O76" i="6"/>
  <c r="S76" i="6" s="1"/>
  <c r="O77" i="6"/>
  <c r="S77" i="6" s="1"/>
  <c r="O79" i="6"/>
  <c r="S79" i="6" s="1"/>
  <c r="O80" i="6"/>
  <c r="S80" i="6" s="1"/>
  <c r="O82" i="6"/>
  <c r="S82" i="6" s="1"/>
  <c r="O14" i="6"/>
  <c r="S14" i="6" s="1"/>
  <c r="O20" i="6"/>
  <c r="S20" i="6" s="1"/>
  <c r="O23" i="6"/>
  <c r="S23" i="6" s="1"/>
  <c r="O27" i="6"/>
  <c r="S27" i="6" s="1"/>
  <c r="O30" i="6"/>
  <c r="S30" i="6" s="1"/>
  <c r="O33" i="6"/>
  <c r="S33" i="6" s="1"/>
  <c r="O35" i="6"/>
  <c r="S35" i="6" s="1"/>
  <c r="O38" i="6"/>
  <c r="S38" i="6" s="1"/>
  <c r="O41" i="6"/>
  <c r="S41" i="6" s="1"/>
  <c r="O44" i="6"/>
  <c r="S44" i="6" s="1"/>
  <c r="O48" i="6"/>
  <c r="S48" i="6" s="1"/>
  <c r="O51" i="6"/>
  <c r="S51" i="6" s="1"/>
  <c r="O54" i="6"/>
  <c r="S54" i="6" s="1"/>
  <c r="O56" i="6"/>
  <c r="S56" i="6" s="1"/>
  <c r="O59" i="6"/>
  <c r="S59" i="6" s="1"/>
  <c r="O62" i="6"/>
  <c r="S62" i="6" s="1"/>
  <c r="O65" i="6"/>
  <c r="S65" i="6" s="1"/>
  <c r="O68" i="6"/>
  <c r="S68" i="6" s="1"/>
  <c r="O70" i="6"/>
  <c r="S70" i="6" s="1"/>
  <c r="O73" i="6"/>
  <c r="S73" i="6" s="1"/>
  <c r="O75" i="6"/>
  <c r="S75" i="6" s="1"/>
  <c r="O78" i="6"/>
  <c r="S78" i="6" s="1"/>
  <c r="O81" i="6"/>
  <c r="S81" i="6" s="1"/>
  <c r="O3" i="6"/>
  <c r="S3" i="6" s="1"/>
  <c r="O5" i="6"/>
  <c r="S5" i="6" s="1"/>
  <c r="O6" i="6"/>
  <c r="S6" i="6" s="1"/>
  <c r="O7" i="6"/>
  <c r="S7" i="6" s="1"/>
  <c r="O8" i="6"/>
  <c r="S8" i="6" s="1"/>
  <c r="O9" i="6"/>
  <c r="S9" i="6" s="1"/>
  <c r="O10" i="6"/>
  <c r="S10" i="6" s="1"/>
  <c r="O11" i="6"/>
  <c r="S11" i="6" s="1"/>
  <c r="O12" i="6"/>
  <c r="S12" i="6" s="1"/>
  <c r="O46" i="6"/>
  <c r="S46" i="6" s="1"/>
  <c r="R11" i="1"/>
  <c r="R4" i="1"/>
  <c r="R12" i="1" l="1"/>
  <c r="R13" i="1"/>
  <c r="R5" i="1"/>
  <c r="R6" i="1"/>
</calcChain>
</file>

<file path=xl/sharedStrings.xml><?xml version="1.0" encoding="utf-8"?>
<sst xmlns="http://schemas.openxmlformats.org/spreadsheetml/2006/main" count="1343" uniqueCount="254">
  <si>
    <t>Date</t>
  </si>
  <si>
    <t>Grade</t>
  </si>
  <si>
    <t>Quantity(m3)</t>
  </si>
  <si>
    <t>No of transit mixers</t>
  </si>
  <si>
    <t>M25</t>
  </si>
  <si>
    <t>vikas</t>
  </si>
  <si>
    <t>Emany Constructions</t>
  </si>
  <si>
    <t>M30</t>
  </si>
  <si>
    <t>G M sir</t>
  </si>
  <si>
    <t>M20</t>
  </si>
  <si>
    <t>Manish Reddy</t>
  </si>
  <si>
    <t>yadhagiri</t>
  </si>
  <si>
    <t>Sidhula</t>
  </si>
  <si>
    <t>M15</t>
  </si>
  <si>
    <t>S.S.V Construction</t>
  </si>
  <si>
    <t>Navraj singh</t>
  </si>
  <si>
    <t>Bepi Ecil</t>
  </si>
  <si>
    <t>M10</t>
  </si>
  <si>
    <t>vinodh</t>
  </si>
  <si>
    <t>Bahadhur sing</t>
  </si>
  <si>
    <t>sri panchami De</t>
  </si>
  <si>
    <t>Mahesh</t>
  </si>
  <si>
    <t>Akshith</t>
  </si>
  <si>
    <t>optus entrerprises</t>
  </si>
  <si>
    <t>B somaiah</t>
  </si>
  <si>
    <t>B santhosh</t>
  </si>
  <si>
    <t>Harika drugs</t>
  </si>
  <si>
    <t>Arjun</t>
  </si>
  <si>
    <t>Ramesh</t>
  </si>
  <si>
    <t>Rahul</t>
  </si>
  <si>
    <t>validus Infra</t>
  </si>
  <si>
    <t>Engineer associates</t>
  </si>
  <si>
    <t>Mallareddy</t>
  </si>
  <si>
    <t>srinivas</t>
  </si>
  <si>
    <t>balaih</t>
  </si>
  <si>
    <t>sai balaji constructuions</t>
  </si>
  <si>
    <t>L.S.R engineers</t>
  </si>
  <si>
    <t>srauda</t>
  </si>
  <si>
    <t>sravan</t>
  </si>
  <si>
    <t>subba reddy</t>
  </si>
  <si>
    <t>rohith reddy</t>
  </si>
  <si>
    <t>niraj</t>
  </si>
  <si>
    <t>Dr.raju</t>
  </si>
  <si>
    <t>Csk construction</t>
  </si>
  <si>
    <t>shiva reddy</t>
  </si>
  <si>
    <t>venkatesh</t>
  </si>
  <si>
    <t>mohan</t>
  </si>
  <si>
    <t>praveen</t>
  </si>
  <si>
    <t>Akbar</t>
  </si>
  <si>
    <t>mai sammat</t>
  </si>
  <si>
    <t>kalyan</t>
  </si>
  <si>
    <t>Harish</t>
  </si>
  <si>
    <t>Grr constructions</t>
  </si>
  <si>
    <t>hall mark</t>
  </si>
  <si>
    <t>Balral</t>
  </si>
  <si>
    <t>decimrastruct</t>
  </si>
  <si>
    <t>mallesh</t>
  </si>
  <si>
    <t>ravi</t>
  </si>
  <si>
    <t>venu</t>
  </si>
  <si>
    <t>satish</t>
  </si>
  <si>
    <t>cmany</t>
  </si>
  <si>
    <t>naiudu</t>
  </si>
  <si>
    <t>joginath</t>
  </si>
  <si>
    <t>krishna</t>
  </si>
  <si>
    <t>altanalt</t>
  </si>
  <si>
    <t>Surendar reddy</t>
  </si>
  <si>
    <t>Bn reddy</t>
  </si>
  <si>
    <t>Hm towers</t>
  </si>
  <si>
    <t>malli kumar</t>
  </si>
  <si>
    <t>riyaz</t>
  </si>
  <si>
    <t>suresh reddy</t>
  </si>
  <si>
    <t>nagarjuna</t>
  </si>
  <si>
    <t>sagar</t>
  </si>
  <si>
    <t>M35</t>
  </si>
  <si>
    <t>sri lakshmi</t>
  </si>
  <si>
    <t>ramu</t>
  </si>
  <si>
    <t>dharma reddy</t>
  </si>
  <si>
    <t>new land</t>
  </si>
  <si>
    <t>mohamad</t>
  </si>
  <si>
    <t>kala</t>
  </si>
  <si>
    <t>madhavroa</t>
  </si>
  <si>
    <t>buchi reddy</t>
  </si>
  <si>
    <t>bharath</t>
  </si>
  <si>
    <t>madhu</t>
  </si>
  <si>
    <t>shankar reddy</t>
  </si>
  <si>
    <t>kondaih</t>
  </si>
  <si>
    <t>gopi</t>
  </si>
  <si>
    <t>shankariah</t>
  </si>
  <si>
    <t>maha</t>
  </si>
  <si>
    <t>raju</t>
  </si>
  <si>
    <t>ratan</t>
  </si>
  <si>
    <t>Mix Designation</t>
  </si>
  <si>
    <t>Cement (kg/m³)</t>
  </si>
  <si>
    <t>Flyash(kg/m³)</t>
  </si>
  <si>
    <t>Sand (kg/m³)</t>
  </si>
  <si>
    <t>20mm Coarse Agg. (kg/m³)</t>
  </si>
  <si>
    <t>12.5mm Coarse Agg. (kg/m³)</t>
  </si>
  <si>
    <t>cement</t>
  </si>
  <si>
    <t>sand</t>
  </si>
  <si>
    <t>Grand Total</t>
  </si>
  <si>
    <t>Row Labels</t>
  </si>
  <si>
    <t>Sum of cement</t>
  </si>
  <si>
    <t>Sum of sand</t>
  </si>
  <si>
    <t>Q1</t>
  </si>
  <si>
    <t>Q3</t>
  </si>
  <si>
    <t>IQR</t>
  </si>
  <si>
    <t>lowe limit</t>
  </si>
  <si>
    <t>upper limit</t>
  </si>
  <si>
    <t>Cement</t>
  </si>
  <si>
    <t>Lower limit</t>
  </si>
  <si>
    <t>Day</t>
  </si>
  <si>
    <t>Sand</t>
  </si>
  <si>
    <t>Moving average C</t>
  </si>
  <si>
    <t>M</t>
  </si>
  <si>
    <t>Moving average</t>
  </si>
  <si>
    <t>Predction(Day NO</t>
  </si>
  <si>
    <t>Scaled San</t>
  </si>
  <si>
    <t xml:space="preserve">exit </t>
  </si>
  <si>
    <t>re entry</t>
  </si>
  <si>
    <t>minutes</t>
  </si>
  <si>
    <t>site</t>
  </si>
  <si>
    <t>Daytime</t>
  </si>
  <si>
    <t>Site A</t>
  </si>
  <si>
    <t>Site B</t>
  </si>
  <si>
    <t>Morning</t>
  </si>
  <si>
    <t>Early Morning</t>
  </si>
  <si>
    <t>Afternoon</t>
  </si>
  <si>
    <t>Evening</t>
  </si>
  <si>
    <t>Night</t>
  </si>
  <si>
    <t>turn around (hrs)</t>
  </si>
  <si>
    <t>Average of minutes</t>
  </si>
  <si>
    <t>(All)</t>
  </si>
  <si>
    <t>Driver Name</t>
  </si>
  <si>
    <t>Minutes</t>
  </si>
  <si>
    <t>cost per cubic meter</t>
  </si>
  <si>
    <t>Revenue</t>
  </si>
  <si>
    <t>Sum of Revenue</t>
  </si>
  <si>
    <t>Total Quantity</t>
  </si>
  <si>
    <t>Sum of Total Quantity</t>
  </si>
  <si>
    <t>Frequency</t>
  </si>
  <si>
    <t>Max of Date</t>
  </si>
  <si>
    <t>Recency</t>
  </si>
  <si>
    <t>Max of date</t>
  </si>
  <si>
    <t>recency metric</t>
  </si>
  <si>
    <t>Freq</t>
  </si>
  <si>
    <t>Reven</t>
  </si>
  <si>
    <t>Quantity</t>
  </si>
  <si>
    <t>Normalized Recency</t>
  </si>
  <si>
    <t>Volume</t>
  </si>
  <si>
    <t>Score</t>
  </si>
  <si>
    <t>Names</t>
  </si>
  <si>
    <t>Loyal</t>
  </si>
  <si>
    <t>Score Range</t>
  </si>
  <si>
    <t>≥ 1.0</t>
  </si>
  <si>
    <t>Potential Loyalist</t>
  </si>
  <si>
    <t>0.40 – 0.99</t>
  </si>
  <si>
    <t>Need Attention</t>
  </si>
  <si>
    <t>0.15 – 0.39</t>
  </si>
  <si>
    <t>At Risk</t>
  </si>
  <si>
    <t>&lt; 0.15</t>
  </si>
  <si>
    <t>Segment</t>
  </si>
  <si>
    <t>Count of Segment</t>
  </si>
  <si>
    <t>Driver1</t>
  </si>
  <si>
    <t>Driver2</t>
  </si>
  <si>
    <t>Driver3</t>
  </si>
  <si>
    <t>Driver4</t>
  </si>
  <si>
    <t>Driver5</t>
  </si>
  <si>
    <t>Driver6</t>
  </si>
  <si>
    <t>Driver7</t>
  </si>
  <si>
    <t>Driver8</t>
  </si>
  <si>
    <t>Driver9</t>
  </si>
  <si>
    <t>Name</t>
  </si>
  <si>
    <t>Client</t>
  </si>
  <si>
    <t>Client1</t>
  </si>
  <si>
    <t>Client2</t>
  </si>
  <si>
    <t>Client3</t>
  </si>
  <si>
    <t>Client4</t>
  </si>
  <si>
    <t>Client5</t>
  </si>
  <si>
    <t>Client6</t>
  </si>
  <si>
    <t>Client7</t>
  </si>
  <si>
    <t>Client8</t>
  </si>
  <si>
    <t>Client9</t>
  </si>
  <si>
    <t>Client10</t>
  </si>
  <si>
    <t>Client11</t>
  </si>
  <si>
    <t>Client12</t>
  </si>
  <si>
    <t>Client13</t>
  </si>
  <si>
    <t>Client14</t>
  </si>
  <si>
    <t>Client15</t>
  </si>
  <si>
    <t>Client16</t>
  </si>
  <si>
    <t>Client17</t>
  </si>
  <si>
    <t>Client18</t>
  </si>
  <si>
    <t>Client19</t>
  </si>
  <si>
    <t>Client20</t>
  </si>
  <si>
    <t>Client21</t>
  </si>
  <si>
    <t>Client22</t>
  </si>
  <si>
    <t>Client23</t>
  </si>
  <si>
    <t>Client24</t>
  </si>
  <si>
    <t>Client25</t>
  </si>
  <si>
    <t>Client26</t>
  </si>
  <si>
    <t>Client27</t>
  </si>
  <si>
    <t>Client28</t>
  </si>
  <si>
    <t>Client29</t>
  </si>
  <si>
    <t>Client30</t>
  </si>
  <si>
    <t>Client31</t>
  </si>
  <si>
    <t>Client32</t>
  </si>
  <si>
    <t>Client33</t>
  </si>
  <si>
    <t>Client34</t>
  </si>
  <si>
    <t>Client35</t>
  </si>
  <si>
    <t>Client36</t>
  </si>
  <si>
    <t>Client37</t>
  </si>
  <si>
    <t>Client38</t>
  </si>
  <si>
    <t>Client39</t>
  </si>
  <si>
    <t>Client40</t>
  </si>
  <si>
    <t>Client41</t>
  </si>
  <si>
    <t>Client42</t>
  </si>
  <si>
    <t>Client43</t>
  </si>
  <si>
    <t>Client44</t>
  </si>
  <si>
    <t>Client45</t>
  </si>
  <si>
    <t>Client46</t>
  </si>
  <si>
    <t>Client47</t>
  </si>
  <si>
    <t>Client48</t>
  </si>
  <si>
    <t>Client49</t>
  </si>
  <si>
    <t>Client50</t>
  </si>
  <si>
    <t>Client51</t>
  </si>
  <si>
    <t>Client52</t>
  </si>
  <si>
    <t>Client53</t>
  </si>
  <si>
    <t>Client54</t>
  </si>
  <si>
    <t>Client55</t>
  </si>
  <si>
    <t>Client56</t>
  </si>
  <si>
    <t>Client57</t>
  </si>
  <si>
    <t>Client58</t>
  </si>
  <si>
    <t>Client59</t>
  </si>
  <si>
    <t>Client60</t>
  </si>
  <si>
    <t>Client61</t>
  </si>
  <si>
    <t>Client62</t>
  </si>
  <si>
    <t>Client63</t>
  </si>
  <si>
    <t>Client64</t>
  </si>
  <si>
    <t>Client65</t>
  </si>
  <si>
    <t>Client66</t>
  </si>
  <si>
    <t>Client67</t>
  </si>
  <si>
    <t>Client68</t>
  </si>
  <si>
    <t>Client69</t>
  </si>
  <si>
    <t>Client70</t>
  </si>
  <si>
    <t>Client71</t>
  </si>
  <si>
    <t>Client72</t>
  </si>
  <si>
    <t>Client73</t>
  </si>
  <si>
    <t>Client74</t>
  </si>
  <si>
    <t>Client75</t>
  </si>
  <si>
    <t>Client76</t>
  </si>
  <si>
    <t>Client77</t>
  </si>
  <si>
    <t>Client78</t>
  </si>
  <si>
    <t>Client79</t>
  </si>
  <si>
    <t>Client80</t>
  </si>
  <si>
    <t>Client81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</si>
</sst>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hh:mm;@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2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2" fontId="0" fillId="2" borderId="0" xfId="0" applyNumberFormat="1" applyFill="1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/>
    <xf numFmtId="0" fontId="1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2" borderId="0" xfId="0" applyFill="1"/>
    <xf numFmtId="165" fontId="0" fillId="2" borderId="0" xfId="0" applyNumberFormat="1" applyFill="1"/>
  </cellXfs>
  <cellStyles count="1">
    <cellStyle name="Normal" xfId="0" builtinId="0"/>
  </cellStyles>
  <dxfs count="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Cement</a:t>
            </a:r>
            <a:r>
              <a:rPr lang="en-IN" baseline="0"/>
              <a:t> Consumed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Prediction!$V$2:$V$94</c:f>
              <c:numCache>
                <c:formatCode>0.00</c:formatCode>
                <c:ptCount val="93"/>
                <c:pt idx="0">
                  <c:v>1.38</c:v>
                </c:pt>
                <c:pt idx="1">
                  <c:v>2.3574999999999999</c:v>
                </c:pt>
                <c:pt idx="2">
                  <c:v>6.5</c:v>
                </c:pt>
                <c:pt idx="3">
                  <c:v>11.052499999999998</c:v>
                </c:pt>
                <c:pt idx="4">
                  <c:v>14.169999999999998</c:v>
                </c:pt>
                <c:pt idx="5">
                  <c:v>15.81</c:v>
                </c:pt>
                <c:pt idx="6">
                  <c:v>15.127142857142857</c:v>
                </c:pt>
                <c:pt idx="7">
                  <c:v>16.25</c:v>
                </c:pt>
                <c:pt idx="8">
                  <c:v>19.023571428571426</c:v>
                </c:pt>
                <c:pt idx="9">
                  <c:v>18.786428571428569</c:v>
                </c:pt>
                <c:pt idx="10">
                  <c:v>15.752857142857142</c:v>
                </c:pt>
                <c:pt idx="11">
                  <c:v>12.226428571428571</c:v>
                </c:pt>
                <c:pt idx="12">
                  <c:v>10.110714285714286</c:v>
                </c:pt>
                <c:pt idx="13">
                  <c:v>9.9550000000000001</c:v>
                </c:pt>
                <c:pt idx="14">
                  <c:v>10.834999999999999</c:v>
                </c:pt>
                <c:pt idx="15">
                  <c:v>9.1150000000000002</c:v>
                </c:pt>
                <c:pt idx="16">
                  <c:v>10.216428571428571</c:v>
                </c:pt>
                <c:pt idx="17">
                  <c:v>11.235714285714286</c:v>
                </c:pt>
                <c:pt idx="18">
                  <c:v>11.397857142857145</c:v>
                </c:pt>
                <c:pt idx="19">
                  <c:v>11.01357142857143</c:v>
                </c:pt>
                <c:pt idx="20">
                  <c:v>10.156428571428572</c:v>
                </c:pt>
                <c:pt idx="21">
                  <c:v>10.018571428571429</c:v>
                </c:pt>
                <c:pt idx="22">
                  <c:v>10.011428571428569</c:v>
                </c:pt>
                <c:pt idx="23">
                  <c:v>8.8549999999999986</c:v>
                </c:pt>
                <c:pt idx="24">
                  <c:v>9.9192857142857154</c:v>
                </c:pt>
                <c:pt idx="25">
                  <c:v>10.777857142857142</c:v>
                </c:pt>
                <c:pt idx="26">
                  <c:v>10.807857142857143</c:v>
                </c:pt>
                <c:pt idx="27">
                  <c:v>12.067857142857145</c:v>
                </c:pt>
                <c:pt idx="28">
                  <c:v>11.575714285714286</c:v>
                </c:pt>
                <c:pt idx="29">
                  <c:v>12.567857142857145</c:v>
                </c:pt>
                <c:pt idx="30">
                  <c:v>12.879285714285714</c:v>
                </c:pt>
                <c:pt idx="31">
                  <c:v>11.449285714285713</c:v>
                </c:pt>
                <c:pt idx="32">
                  <c:v>10.332142857142857</c:v>
                </c:pt>
                <c:pt idx="33">
                  <c:v>10.147857142857143</c:v>
                </c:pt>
                <c:pt idx="34">
                  <c:v>8.5035714285714281</c:v>
                </c:pt>
                <c:pt idx="35">
                  <c:v>8.757142857142858</c:v>
                </c:pt>
                <c:pt idx="36">
                  <c:v>8.6864285714285714</c:v>
                </c:pt>
                <c:pt idx="37">
                  <c:v>7.1628571428571428</c:v>
                </c:pt>
                <c:pt idx="38">
                  <c:v>7.0014285714285718</c:v>
                </c:pt>
                <c:pt idx="39">
                  <c:v>7.4128571428571428</c:v>
                </c:pt>
                <c:pt idx="40">
                  <c:v>7.2614285714285725</c:v>
                </c:pt>
                <c:pt idx="41">
                  <c:v>8.9814285714285713</c:v>
                </c:pt>
                <c:pt idx="42">
                  <c:v>8.9292857142857134</c:v>
                </c:pt>
                <c:pt idx="43">
                  <c:v>9.0150000000000006</c:v>
                </c:pt>
                <c:pt idx="44">
                  <c:v>10.745714285714286</c:v>
                </c:pt>
                <c:pt idx="45">
                  <c:v>11.592142857142857</c:v>
                </c:pt>
                <c:pt idx="46">
                  <c:v>12.962142857142856</c:v>
                </c:pt>
                <c:pt idx="47">
                  <c:v>16.397857142857141</c:v>
                </c:pt>
                <c:pt idx="48">
                  <c:v>14.959285714285715</c:v>
                </c:pt>
                <c:pt idx="49">
                  <c:v>16.925000000000001</c:v>
                </c:pt>
                <c:pt idx="50">
                  <c:v>15.355</c:v>
                </c:pt>
                <c:pt idx="51">
                  <c:v>15.837142857142856</c:v>
                </c:pt>
                <c:pt idx="52">
                  <c:v>15.543571428571429</c:v>
                </c:pt>
                <c:pt idx="53">
                  <c:v>15.669285714285715</c:v>
                </c:pt>
                <c:pt idx="54">
                  <c:v>14.377857142857144</c:v>
                </c:pt>
                <c:pt idx="55">
                  <c:v>16.067142857142859</c:v>
                </c:pt>
                <c:pt idx="56">
                  <c:v>12.660714285714288</c:v>
                </c:pt>
                <c:pt idx="57">
                  <c:v>15.643571428571432</c:v>
                </c:pt>
                <c:pt idx="58">
                  <c:v>13.760000000000002</c:v>
                </c:pt>
                <c:pt idx="59">
                  <c:v>12.932857142857143</c:v>
                </c:pt>
                <c:pt idx="60">
                  <c:v>15.069285714285716</c:v>
                </c:pt>
                <c:pt idx="61">
                  <c:v>13.837142857142856</c:v>
                </c:pt>
                <c:pt idx="62">
                  <c:v>12.837857142857143</c:v>
                </c:pt>
                <c:pt idx="63">
                  <c:v>13.870000000000001</c:v>
                </c:pt>
                <c:pt idx="64">
                  <c:v>11.044285714285715</c:v>
                </c:pt>
                <c:pt idx="65">
                  <c:v>11.669642857142858</c:v>
                </c:pt>
                <c:pt idx="66">
                  <c:v>12.467857142857143</c:v>
                </c:pt>
                <c:pt idx="67">
                  <c:v>8.7014285714285702</c:v>
                </c:pt>
                <c:pt idx="68">
                  <c:v>7.8021428571428562</c:v>
                </c:pt>
                <c:pt idx="69">
                  <c:v>10.259285714285713</c:v>
                </c:pt>
                <c:pt idx="70">
                  <c:v>12.372142857142858</c:v>
                </c:pt>
                <c:pt idx="71">
                  <c:v>13.174999999999999</c:v>
                </c:pt>
                <c:pt idx="72">
                  <c:v>12.1525</c:v>
                </c:pt>
                <c:pt idx="73">
                  <c:v>11.990714285714287</c:v>
                </c:pt>
                <c:pt idx="74">
                  <c:v>12.730714285714287</c:v>
                </c:pt>
                <c:pt idx="75">
                  <c:v>15.693571428571429</c:v>
                </c:pt>
                <c:pt idx="76">
                  <c:v>15.077857142857143</c:v>
                </c:pt>
                <c:pt idx="77">
                  <c:v>14.429285714285713</c:v>
                </c:pt>
                <c:pt idx="78">
                  <c:v>14.127857142857142</c:v>
                </c:pt>
                <c:pt idx="79">
                  <c:v>14.873571428571427</c:v>
                </c:pt>
                <c:pt idx="80">
                  <c:v>15.145714285714288</c:v>
                </c:pt>
                <c:pt idx="81">
                  <c:v>17.8</c:v>
                </c:pt>
                <c:pt idx="82">
                  <c:v>15.200000000000001</c:v>
                </c:pt>
                <c:pt idx="83">
                  <c:v>14.412142857142856</c:v>
                </c:pt>
                <c:pt idx="84">
                  <c:v>13.942142857142857</c:v>
                </c:pt>
                <c:pt idx="85">
                  <c:v>15.881071428571429</c:v>
                </c:pt>
                <c:pt idx="86">
                  <c:v>17.688214285714288</c:v>
                </c:pt>
                <c:pt idx="87">
                  <c:v>17.725357142857145</c:v>
                </c:pt>
                <c:pt idx="88">
                  <c:v>14.12107142857143</c:v>
                </c:pt>
                <c:pt idx="89">
                  <c:v>17.275357142857143</c:v>
                </c:pt>
                <c:pt idx="90">
                  <c:v>15.500357142857144</c:v>
                </c:pt>
                <c:pt idx="91">
                  <c:v>14.240357142857144</c:v>
                </c:pt>
                <c:pt idx="92">
                  <c:v>11.911428571428571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48-4494-BF7B-69019CD39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783008"/>
        <c:axId val="1591783488"/>
      </c:scatterChart>
      <c:valAx>
        <c:axId val="159178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783488"/>
        <c:crosses val="autoZero"/>
        <c:crossBetween val="midCat"/>
      </c:valAx>
      <c:valAx>
        <c:axId val="159178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78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Sand</a:t>
            </a:r>
            <a:r>
              <a:rPr lang="en-IN" baseline="0"/>
              <a:t> Consumed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Prediction!$X$2:$X$94</c:f>
              <c:numCache>
                <c:formatCode>0.00</c:formatCode>
                <c:ptCount val="93"/>
                <c:pt idx="0">
                  <c:v>4.032</c:v>
                </c:pt>
                <c:pt idx="1">
                  <c:v>6.8879999999999999</c:v>
                </c:pt>
                <c:pt idx="2">
                  <c:v>15.402666666666667</c:v>
                </c:pt>
                <c:pt idx="3">
                  <c:v>24.229500000000002</c:v>
                </c:pt>
                <c:pt idx="4">
                  <c:v>31.811</c:v>
                </c:pt>
                <c:pt idx="5">
                  <c:v>35.542666666666669</c:v>
                </c:pt>
                <c:pt idx="6">
                  <c:v>33.841142857142863</c:v>
                </c:pt>
                <c:pt idx="7">
                  <c:v>37.157142857142858</c:v>
                </c:pt>
                <c:pt idx="8">
                  <c:v>46.373142857142859</c:v>
                </c:pt>
                <c:pt idx="9">
                  <c:v>47.86</c:v>
                </c:pt>
                <c:pt idx="10">
                  <c:v>42.151714285714284</c:v>
                </c:pt>
                <c:pt idx="11">
                  <c:v>34.091000000000001</c:v>
                </c:pt>
                <c:pt idx="12">
                  <c:v>30.187999999999999</c:v>
                </c:pt>
                <c:pt idx="13">
                  <c:v>30.04</c:v>
                </c:pt>
                <c:pt idx="14">
                  <c:v>31.348000000000003</c:v>
                </c:pt>
                <c:pt idx="15">
                  <c:v>24.068000000000001</c:v>
                </c:pt>
                <c:pt idx="16">
                  <c:v>25.279642857142854</c:v>
                </c:pt>
                <c:pt idx="17">
                  <c:v>27.322499999999994</c:v>
                </c:pt>
                <c:pt idx="18">
                  <c:v>27.857357142857136</c:v>
                </c:pt>
                <c:pt idx="19">
                  <c:v>26.29392857142857</c:v>
                </c:pt>
                <c:pt idx="20">
                  <c:v>24.938214285714281</c:v>
                </c:pt>
                <c:pt idx="21">
                  <c:v>25.074928571428568</c:v>
                </c:pt>
                <c:pt idx="22">
                  <c:v>25.946499999999997</c:v>
                </c:pt>
                <c:pt idx="23">
                  <c:v>23.633857142857146</c:v>
                </c:pt>
                <c:pt idx="24">
                  <c:v>27.422999999999998</c:v>
                </c:pt>
                <c:pt idx="25">
                  <c:v>29.657142857142855</c:v>
                </c:pt>
                <c:pt idx="26">
                  <c:v>29.264571428571426</c:v>
                </c:pt>
                <c:pt idx="27">
                  <c:v>32.271142857142856</c:v>
                </c:pt>
                <c:pt idx="28">
                  <c:v>31.642428571428571</c:v>
                </c:pt>
                <c:pt idx="29">
                  <c:v>33.622571428571426</c:v>
                </c:pt>
                <c:pt idx="30">
                  <c:v>33.473285714285709</c:v>
                </c:pt>
                <c:pt idx="31">
                  <c:v>29.465285714285717</c:v>
                </c:pt>
                <c:pt idx="32">
                  <c:v>26.239142857142856</c:v>
                </c:pt>
                <c:pt idx="33">
                  <c:v>26.707142857142856</c:v>
                </c:pt>
                <c:pt idx="34">
                  <c:v>22.41114285714286</c:v>
                </c:pt>
                <c:pt idx="35">
                  <c:v>23.031142857142857</c:v>
                </c:pt>
                <c:pt idx="36">
                  <c:v>24.397428571428573</c:v>
                </c:pt>
                <c:pt idx="37">
                  <c:v>21.303714285714282</c:v>
                </c:pt>
                <c:pt idx="38">
                  <c:v>20.09</c:v>
                </c:pt>
                <c:pt idx="39">
                  <c:v>20.89742857142857</c:v>
                </c:pt>
                <c:pt idx="40">
                  <c:v>20.369428571428568</c:v>
                </c:pt>
                <c:pt idx="41">
                  <c:v>24.767785714285715</c:v>
                </c:pt>
                <c:pt idx="42">
                  <c:v>23.743214285714284</c:v>
                </c:pt>
                <c:pt idx="43">
                  <c:v>23.589214285714288</c:v>
                </c:pt>
                <c:pt idx="44">
                  <c:v>27.505785714285715</c:v>
                </c:pt>
                <c:pt idx="45">
                  <c:v>31.191500000000001</c:v>
                </c:pt>
                <c:pt idx="46">
                  <c:v>36.436642857142864</c:v>
                </c:pt>
                <c:pt idx="47">
                  <c:v>45.982928571428566</c:v>
                </c:pt>
                <c:pt idx="48">
                  <c:v>42.345714285714287</c:v>
                </c:pt>
                <c:pt idx="49">
                  <c:v>45.628571428571426</c:v>
                </c:pt>
                <c:pt idx="50">
                  <c:v>40.120571428571431</c:v>
                </c:pt>
                <c:pt idx="51">
                  <c:v>43.102142857142852</c:v>
                </c:pt>
                <c:pt idx="52">
                  <c:v>40.788000000000004</c:v>
                </c:pt>
                <c:pt idx="53">
                  <c:v>40.022571428571432</c:v>
                </c:pt>
                <c:pt idx="54">
                  <c:v>34.526857142857139</c:v>
                </c:pt>
                <c:pt idx="55">
                  <c:v>38.87885714285715</c:v>
                </c:pt>
                <c:pt idx="56">
                  <c:v>32.338285714285711</c:v>
                </c:pt>
                <c:pt idx="57">
                  <c:v>41.526000000000003</c:v>
                </c:pt>
                <c:pt idx="58">
                  <c:v>34.690999999999995</c:v>
                </c:pt>
                <c:pt idx="59">
                  <c:v>33.504571428571431</c:v>
                </c:pt>
                <c:pt idx="60">
                  <c:v>40.787714285714287</c:v>
                </c:pt>
                <c:pt idx="61">
                  <c:v>39.684428571428569</c:v>
                </c:pt>
                <c:pt idx="62">
                  <c:v>37.348428571428563</c:v>
                </c:pt>
                <c:pt idx="63">
                  <c:v>40.25</c:v>
                </c:pt>
                <c:pt idx="64">
                  <c:v>32.614714285714285</c:v>
                </c:pt>
                <c:pt idx="65">
                  <c:v>35.474000000000004</c:v>
                </c:pt>
                <c:pt idx="66">
                  <c:v>38.0045</c:v>
                </c:pt>
                <c:pt idx="67">
                  <c:v>26.419357142857141</c:v>
                </c:pt>
                <c:pt idx="68">
                  <c:v>23.549214285714282</c:v>
                </c:pt>
                <c:pt idx="69">
                  <c:v>30.691785714285711</c:v>
                </c:pt>
                <c:pt idx="70">
                  <c:v>36.266785714285717</c:v>
                </c:pt>
                <c:pt idx="71">
                  <c:v>36.598357142857139</c:v>
                </c:pt>
                <c:pt idx="72">
                  <c:v>33.887642857142858</c:v>
                </c:pt>
                <c:pt idx="73">
                  <c:v>32.303999999999995</c:v>
                </c:pt>
                <c:pt idx="74">
                  <c:v>35.377142857142857</c:v>
                </c:pt>
                <c:pt idx="75">
                  <c:v>45.476571428571432</c:v>
                </c:pt>
                <c:pt idx="76">
                  <c:v>44.913142857142866</c:v>
                </c:pt>
                <c:pt idx="77">
                  <c:v>44.636857142857139</c:v>
                </c:pt>
                <c:pt idx="78">
                  <c:v>45.765142857142855</c:v>
                </c:pt>
                <c:pt idx="79">
                  <c:v>47.973999999999997</c:v>
                </c:pt>
                <c:pt idx="80">
                  <c:v>49.632857142857134</c:v>
                </c:pt>
                <c:pt idx="81">
                  <c:v>57.503714285714288</c:v>
                </c:pt>
                <c:pt idx="82">
                  <c:v>48.767142857142858</c:v>
                </c:pt>
                <c:pt idx="83">
                  <c:v>45.626857142857141</c:v>
                </c:pt>
                <c:pt idx="84">
                  <c:v>44.074571428571424</c:v>
                </c:pt>
                <c:pt idx="85">
                  <c:v>49.407857142857146</c:v>
                </c:pt>
                <c:pt idx="86">
                  <c:v>55.024285714285718</c:v>
                </c:pt>
                <c:pt idx="87">
                  <c:v>53.991285714285709</c:v>
                </c:pt>
                <c:pt idx="88">
                  <c:v>42.519285714285715</c:v>
                </c:pt>
                <c:pt idx="89">
                  <c:v>52.701214285714286</c:v>
                </c:pt>
                <c:pt idx="90">
                  <c:v>47.301214285714288</c:v>
                </c:pt>
                <c:pt idx="91">
                  <c:v>41.760642857142855</c:v>
                </c:pt>
                <c:pt idx="92">
                  <c:v>35.353071428571425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8E-46D3-A5E8-206F060BF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798368"/>
        <c:axId val="1591755648"/>
      </c:scatterChart>
      <c:valAx>
        <c:axId val="159179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755648"/>
        <c:crosses val="autoZero"/>
        <c:crossBetween val="midCat"/>
      </c:valAx>
      <c:valAx>
        <c:axId val="159175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798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'Transit Mixers'!$L$3</c:f>
              <c:strCache>
                <c:ptCount val="1"/>
                <c:pt idx="0">
                  <c:v>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'Transit Mixers'!$K$4:$K$12</c:f>
              <c:strCache>
                <c:ptCount val="9"/>
                <c:pt idx="0">
                  <c:v>Driver1</c:v>
                </c:pt>
                <c:pt idx="1">
                  <c:v>Driver2</c:v>
                </c:pt>
                <c:pt idx="2">
                  <c:v>Driver3</c:v>
                </c:pt>
                <c:pt idx="3">
                  <c:v>Driver4</c:v>
                </c:pt>
                <c:pt idx="4">
                  <c:v>Driver5</c:v>
                </c:pt>
                <c:pt idx="5">
                  <c:v>Driver6</c:v>
                </c:pt>
                <c:pt idx="6">
                  <c:v>Driver7</c:v>
                </c:pt>
                <c:pt idx="7">
                  <c:v>Driver8</c:v>
                </c:pt>
                <c:pt idx="8">
                  <c:v>Driver9</c:v>
                </c:pt>
              </c:strCache>
            </c:strRef>
          </c:cat>
          <c:val>
            <c:numRef>
              <c:f>'Transit Mixers'!$L$4:$L$12</c:f>
              <c:numCache>
                <c:formatCode>0.00</c:formatCode>
                <c:ptCount val="9"/>
                <c:pt idx="0">
                  <c:v>176.66666666666666</c:v>
                </c:pt>
                <c:pt idx="1">
                  <c:v>102.22222222222223</c:v>
                </c:pt>
                <c:pt idx="2">
                  <c:v>135.625</c:v>
                </c:pt>
                <c:pt idx="3">
                  <c:v>40</c:v>
                </c:pt>
                <c:pt idx="4">
                  <c:v>125</c:v>
                </c:pt>
                <c:pt idx="5">
                  <c:v>129.375</c:v>
                </c:pt>
                <c:pt idx="6">
                  <c:v>156.83333333333334</c:v>
                </c:pt>
                <c:pt idx="7">
                  <c:v>145.57142857142858</c:v>
                </c:pt>
                <c:pt idx="8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E-49F5-AFD4-2808707AC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7307759"/>
        <c:axId val="1817324559"/>
      </c:barChart>
      <c:catAx>
        <c:axId val="181730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324559"/>
        <c:crosses val="autoZero"/>
        <c:auto val="1"/>
        <c:lblAlgn val="ctr"/>
        <c:lblOffset val="100"/>
        <c:noMultiLvlLbl val="0"/>
      </c:catAx>
      <c:valAx>
        <c:axId val="181732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307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53340</xdr:colOff>
      <xdr:row>101</xdr:row>
      <xdr:rowOff>91440</xdr:rowOff>
    </xdr:from>
    <xdr:to>
      <xdr:col>21</xdr:col>
      <xdr:colOff>76200</xdr:colOff>
      <xdr:row>119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F8A5FA-A3D4-D489-2CBC-947161EA3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335280</xdr:colOff>
      <xdr:row>95</xdr:row>
      <xdr:rowOff>15240</xdr:rowOff>
    </xdr:from>
    <xdr:to>
      <xdr:col>32</xdr:col>
      <xdr:colOff>144780</xdr:colOff>
      <xdr:row>110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007433-012D-B70F-8CE8-B060B2AF4B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137160</xdr:colOff>
      <xdr:row>14</xdr:row>
      <xdr:rowOff>30480</xdr:rowOff>
    </xdr:from>
    <xdr:to>
      <xdr:col>16</xdr:col>
      <xdr:colOff>457200</xdr:colOff>
      <xdr:row>29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70CCB1-69F1-B176-3BD2-51CDC74E8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eetha reddy" refreshedDate="46167.848438773151" createdVersion="8" refreshedVersion="8" minRefreshableVersion="3" recordCount="329" xr:uid="{8A3BFFCF-E7B6-48FE-B8E5-CA379A4B3983}">
  <cacheSource type="worksheet">
    <worksheetSource ref="A1:G330" sheet="Prediction"/>
  </cacheSource>
  <cacheFields count="9">
    <cacheField name="Date" numFmtId="14">
      <sharedItems containsSemiMixedTypes="0" containsNonDate="0" containsDate="1" containsString="0" minDate="2025-02-01T00:00:00" maxDate="2025-05-30T00:00:00" count="97">
        <d v="2025-02-01T00:00:00"/>
        <d v="2025-02-02T00:00:00"/>
        <d v="2025-02-04T00:00:00"/>
        <d v="2025-02-05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6T00:00:00"/>
        <d v="2025-03-07T00:00:00"/>
        <d v="2025-03-08T00:00:00"/>
        <d v="2025-03-09T00:00:00"/>
        <d v="2025-03-10T00:00:00"/>
        <d v="2025-03-11T00:00:00"/>
        <d v="2025-03-13T00:00:00"/>
        <d v="2025-03-14T00:00:00"/>
        <d v="2025-03-16T00:00:00"/>
        <d v="2025-03-17T00:00:00"/>
        <d v="2025-03-18T00:00:00"/>
        <d v="2025-03-19T00:00:00"/>
        <d v="2025-03-20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4-01T00:00:00"/>
        <d v="2025-04-02T00:00:00"/>
        <d v="2025-04-05T00:00:00"/>
        <d v="2025-04-06T00:00:00"/>
        <d v="2025-04-07T00:00:00"/>
        <d v="2025-04-08T00:00:00"/>
        <d v="2025-04-10T00:00:00"/>
        <d v="2025-04-11T00:00:00"/>
        <d v="2025-04-12T00:00:00"/>
        <d v="2025-04-13T00:00:00"/>
        <d v="2025-04-14T00:00:00"/>
        <d v="2025-04-17T00:00:00"/>
        <d v="2025-04-18T00:00:00"/>
        <d v="2025-04-19T00:00:00"/>
        <d v="2025-04-20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3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</sharedItems>
      <fieldGroup par="8"/>
    </cacheField>
    <cacheField name="Grade" numFmtId="0">
      <sharedItems/>
    </cacheField>
    <cacheField name="Quantity(m3)" numFmtId="0">
      <sharedItems containsSemiMixedTypes="0" containsString="0" containsNumber="1" minValue="1" maxValue="8.5"/>
    </cacheField>
    <cacheField name="No of transit mixers" numFmtId="0">
      <sharedItems containsSemiMixedTypes="0" containsString="0" containsNumber="1" containsInteger="1" minValue="1" maxValue="40"/>
    </cacheField>
    <cacheField name="Client Name" numFmtId="0">
      <sharedItems/>
    </cacheField>
    <cacheField name="cement" numFmtId="2">
      <sharedItems containsSemiMixedTypes="0" containsString="0" containsNumber="1" minValue="0.21" maxValue="57" count="126">
        <n v="0.80500000000000005"/>
        <n v="0.57499999999999996"/>
        <n v="3.335"/>
        <n v="1.375"/>
        <n v="1.25"/>
        <n v="11.2"/>
        <n v="0.96"/>
        <n v="0.75"/>
        <n v="1.56"/>
        <n v="4.4800000000000004"/>
        <n v="13.44"/>
        <n v="1.28"/>
        <n v="0.32"/>
        <n v="4.41"/>
        <n v="1.75"/>
        <n v="1.47"/>
        <n v="1.6"/>
        <n v="1.44"/>
        <n v="0.64"/>
        <n v="4.16"/>
        <n v="1.38"/>
        <n v="0.69"/>
        <n v="8.9600000000000009"/>
        <n v="2.2400000000000002"/>
        <n v="7"/>
        <n v="17.5"/>
        <n v="5.25"/>
        <n v="8.75"/>
        <n v="3.64"/>
        <n v="26.25"/>
        <n v="3.5"/>
        <n v="0.91"/>
        <n v="1.7250000000000001"/>
        <n v="1.9550000000000001"/>
        <n v="1.1499999999999999"/>
        <n v="8.0500000000000007"/>
        <n v="3.22"/>
        <n v="6.72"/>
        <n v="6.44"/>
        <n v="1.5"/>
        <n v="0.52500000000000002"/>
        <n v="3.84"/>
        <n v="0.46"/>
        <n v="0.92"/>
        <n v="1.0349999999999999"/>
        <n v="0.63"/>
        <n v="1.92"/>
        <n v="9.1"/>
        <n v="10.92"/>
        <n v="1.82"/>
        <n v="14.56"/>
        <n v="5.76"/>
        <n v="10.4"/>
        <n v="2.08"/>
        <n v="4.4850000000000003"/>
        <n v="2.875"/>
        <n v="3.68"/>
        <n v="11.96"/>
        <n v="2.94"/>
        <n v="1.61"/>
        <n v="1.2649999999999999"/>
        <n v="0.84"/>
        <n v="2.76"/>
        <n v="3.38"/>
        <n v="1.17"/>
        <n v="1.04"/>
        <n v="5.46"/>
        <n v="7.28"/>
        <n v="3.2"/>
        <n v="17.71"/>
        <n v="0.8"/>
        <n v="7.5"/>
        <n v="2.125"/>
        <n v="12"/>
        <n v="0.5"/>
        <n v="8.82"/>
        <n v="5.04"/>
        <n v="57"/>
        <n v="9.6"/>
        <n v="55.2"/>
        <n v="1.26"/>
        <n v="0.21"/>
        <n v="12.88"/>
        <n v="1.4950000000000001"/>
        <n v="2.52"/>
        <n v="2.88"/>
        <n v="2.56"/>
        <n v="3.36"/>
        <n v="11.27"/>
        <n v="6"/>
        <n v="1.625"/>
        <n v="4.83"/>
        <n v="5.12"/>
        <n v="2.5299999999999998"/>
        <n v="1.125"/>
        <n v="2.5"/>
        <n v="3"/>
        <n v="2.86"/>
        <n v="1"/>
        <n v="9.9375"/>
        <n v="0.8125"/>
        <n v="1.575"/>
        <n v="3.45"/>
        <n v="4.1399999999999997"/>
        <n v="1.84"/>
        <n v="0.34499999999999997"/>
        <n v="3.78"/>
        <n v="21"/>
        <n v="18"/>
        <n v="9.66"/>
        <n v="16.5"/>
        <n v="3.12"/>
        <n v="0.48"/>
        <n v="9"/>
        <n v="0.23"/>
        <n v="4.5"/>
        <n v="14.49"/>
        <n v="1.0925"/>
        <n v="15.75"/>
        <n v="2"/>
        <n v="0.78"/>
        <n v="1.1200000000000001"/>
        <n v="0.625"/>
        <n v="0.73499999999999999"/>
        <n v="7.68"/>
        <n v="2.6"/>
      </sharedItems>
    </cacheField>
    <cacheField name="sand" numFmtId="2">
      <sharedItems containsSemiMixedTypes="0" containsString="0" containsNumber="1" minValue="0.628" maxValue="186.048" count="125">
        <n v="2.3519999999999999"/>
        <n v="1.68"/>
        <n v="9.7439999999999998"/>
        <n v="4.4880000000000004"/>
        <n v="4.08"/>
        <n v="21.98"/>
        <n v="1.8839999999999999"/>
        <n v="2.448"/>
        <n v="4.3019999999999996"/>
        <n v="8.7919999999999998"/>
        <n v="26.376000000000001"/>
        <n v="2.512"/>
        <n v="0.628"/>
        <n v="16.233000000000001"/>
        <n v="5.7119999999999997"/>
        <n v="5.4109999999999996"/>
        <n v="3.14"/>
        <n v="2.8260000000000001"/>
        <n v="1.256"/>
        <n v="8.1639999999999997"/>
        <n v="4.032"/>
        <n v="2.016"/>
        <n v="17.584"/>
        <n v="4.3959999999999999"/>
        <n v="22.847999999999999"/>
        <n v="57.12"/>
        <n v="17.135999999999999"/>
        <n v="28.56"/>
        <n v="10.038"/>
        <n v="85.68"/>
        <n v="11.423999999999999"/>
        <n v="2.5095000000000001"/>
        <n v="5.04"/>
        <n v="3.36"/>
        <n v="23.52"/>
        <n v="9.4079999999999995"/>
        <n v="13.188000000000001"/>
        <n v="18.815999999999999"/>
        <n v="4.8959999999999999"/>
        <n v="1.9325000000000001"/>
        <n v="7.5359999999999996"/>
        <n v="1.3440000000000001"/>
        <n v="2.6880000000000002"/>
        <n v="3.024"/>
        <n v="2.319"/>
        <n v="3.7679999999999998"/>
        <n v="25.094999999999999"/>
        <n v="30.114000000000001"/>
        <n v="5.0190000000000001"/>
        <n v="40.152000000000001"/>
        <n v="11.304"/>
        <n v="20.41"/>
        <n v="4.0819999999999999"/>
        <n v="13.103999999999999"/>
        <n v="8.4"/>
        <n v="10.752000000000001"/>
        <n v="34.944000000000003"/>
        <n v="10.821999999999999"/>
        <n v="4.7039999999999997"/>
        <n v="3.6960000000000002"/>
        <n v="3.0920000000000001"/>
        <n v="8.0640000000000001"/>
        <n v="9.3209999999999997"/>
        <n v="3.2265000000000001"/>
        <n v="2.8679999999999999"/>
        <n v="15.057"/>
        <n v="20.076000000000001"/>
        <n v="6.28"/>
        <n v="51.744"/>
        <n v="1.57"/>
        <n v="24.48"/>
        <n v="6.9359999999999999"/>
        <n v="39.167999999999999"/>
        <n v="1.6319999999999999"/>
        <n v="32.466000000000001"/>
        <n v="18.552"/>
        <n v="186.048"/>
        <n v="18.84"/>
        <n v="161.28"/>
        <n v="4.6379999999999999"/>
        <n v="0.77300000000000002"/>
        <n v="37.631999999999998"/>
        <n v="4.3680000000000003"/>
        <n v="9.2759999999999998"/>
        <n v="5.6520000000000001"/>
        <n v="5.024"/>
        <n v="6.5940000000000003"/>
        <n v="32.927999999999997"/>
        <n v="19.584"/>
        <n v="5.3040000000000003"/>
        <n v="14.112"/>
        <n v="10.048"/>
        <n v="7.3920000000000003"/>
        <n v="3.6720000000000002"/>
        <n v="8.16"/>
        <n v="9.7919999999999998"/>
        <n v="7.8869999999999996"/>
        <n v="3.2639999999999998"/>
        <n v="29.625"/>
        <n v="2.6520000000000001"/>
        <n v="5.7975000000000003"/>
        <n v="10.08"/>
        <n v="12.096"/>
        <n v="5.3760000000000003"/>
        <n v="1.008"/>
        <n v="13.914"/>
        <n v="68.543999999999997"/>
        <n v="58.752000000000002"/>
        <n v="28.224"/>
        <n v="53.856000000000002"/>
        <n v="8.6039999999999992"/>
        <n v="0.94199999999999995"/>
        <n v="29.376000000000001"/>
        <n v="0.67200000000000004"/>
        <n v="14.688000000000001"/>
        <n v="42.335999999999999"/>
        <n v="3.1920000000000002"/>
        <n v="51.408000000000001"/>
        <n v="6.5279999999999996"/>
        <n v="2.1509999999999998"/>
        <n v="2.198"/>
        <n v="2.04"/>
        <n v="2.7054999999999998"/>
        <n v="15.071999999999999"/>
        <n v="7.17"/>
      </sharedItems>
    </cacheField>
    <cacheField name="Days (Date)" numFmtId="0" databaseField="0">
      <fieldGroup base="0">
        <rangePr groupBy="days" startDate="2025-02-01T00:00:00" endDate="2025-05-30T00:00:00"/>
        <groupItems count="368">
          <s v="&lt;01-02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-05-2025"/>
        </groupItems>
      </fieldGroup>
    </cacheField>
    <cacheField name="Months (Date)" numFmtId="0" databaseField="0">
      <fieldGroup base="0">
        <rangePr groupBy="months" startDate="2025-02-01T00:00:00" endDate="2025-05-30T00:00:00"/>
        <groupItems count="14">
          <s v="&lt;01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eetha reddy" refreshedDate="46169.908361111113" createdVersion="8" refreshedVersion="8" minRefreshableVersion="3" recordCount="54" xr:uid="{8C4629B7-BB0A-4736-9072-399BB5F27F80}">
  <cacheSource type="worksheet">
    <worksheetSource ref="A1:G55" sheet="Transit Mixers"/>
  </cacheSource>
  <cacheFields count="8">
    <cacheField name="Vehicle no" numFmtId="0">
      <sharedItems containsSemiMixedTypes="0" containsString="0" containsNumber="1" containsInteger="1" minValue="529" maxValue="6892"/>
    </cacheField>
    <cacheField name="exit " numFmtId="164">
      <sharedItems containsSemiMixedTypes="0" containsNonDate="0" containsDate="1" containsString="0" minDate="1899-12-30T04:26:00" maxDate="1899-12-30T21:00:00"/>
    </cacheField>
    <cacheField name="re entry" numFmtId="164">
      <sharedItems containsSemiMixedTypes="0" containsNonDate="0" containsDate="1" containsString="0" minDate="1899-12-30T06:20:00" maxDate="1899-12-30T21:55:00"/>
    </cacheField>
    <cacheField name="driver name" numFmtId="0">
      <sharedItems count="9">
        <s v="sridhar"/>
        <s v="ramrathi"/>
        <s v="ramulu"/>
        <s v="laxamareddy"/>
        <s v="ramshakal"/>
        <s v="J.p"/>
        <s v="ali"/>
        <s v="usman"/>
        <s v="naresh"/>
      </sharedItems>
    </cacheField>
    <cacheField name="turn around (hrs)" numFmtId="164">
      <sharedItems containsSemiMixedTypes="0" containsNonDate="0" containsDate="1" containsString="0" minDate="1899-12-30T00:10:00" maxDate="1899-12-30T04:35:00" count="29">
        <d v="1899-12-30T01:54:00"/>
        <d v="1899-12-30T02:40:00"/>
        <d v="1899-12-30T02:30:00"/>
        <d v="1899-12-30T02:20:00"/>
        <d v="1899-12-30T02:50:00"/>
        <d v="1899-12-30T02:14:00"/>
        <d v="1899-12-30T02:00:00"/>
        <d v="1899-12-30T04:10:00"/>
        <d v="1899-12-30T02:25:00"/>
        <d v="1899-12-30T02:15:00"/>
        <d v="1899-12-30T03:20:00"/>
        <d v="1899-12-30T03:00:00"/>
        <d v="1899-12-30T04:00:00"/>
        <d v="1899-12-30T04:35:00"/>
        <d v="1899-12-30T01:55:00"/>
        <d v="1899-12-30T02:10:00"/>
        <d v="1899-12-30T03:10:00"/>
        <d v="1899-12-30T03:35:00"/>
        <d v="1899-12-30T03:25:00"/>
        <d v="1899-12-30T02:26:00"/>
        <d v="1899-12-30T00:55:00"/>
        <d v="1899-12-30T00:30:00"/>
        <d v="1899-12-30T00:35:00"/>
        <d v="1899-12-30T00:40:00"/>
        <d v="1899-12-30T00:50:00"/>
        <d v="1899-12-30T00:45:00"/>
        <d v="1899-12-30T00:16:00"/>
        <d v="1899-12-30T00:10:00"/>
        <d v="1899-12-30T01:00:00"/>
      </sharedItems>
    </cacheField>
    <cacheField name="minutes" numFmtId="0">
      <sharedItems containsSemiMixedTypes="0" containsString="0" containsNumber="1" containsInteger="1" minValue="10" maxValue="275"/>
    </cacheField>
    <cacheField name="site" numFmtId="0">
      <sharedItems/>
    </cacheField>
    <cacheField name="Daytime" numFmtId="0">
      <sharedItems count="5">
        <s v="Morning"/>
        <s v="Early Morning"/>
        <s v="Afternoon"/>
        <s v="Evening"/>
        <s v="Nigh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eetha reddy" refreshedDate="46169.958874421296" createdVersion="8" refreshedVersion="8" minRefreshableVersion="3" recordCount="81" xr:uid="{72B0AE9C-F376-4CCF-A697-B637D8693C44}">
  <cacheSource type="worksheet">
    <worksheetSource ref="U1:W82" sheet="Customer Classification"/>
  </cacheSource>
  <cacheFields count="3">
    <cacheField name="Names" numFmtId="0">
      <sharedItems count="81">
        <s v="S.S.V Construction"/>
        <s v="Grr constructions"/>
        <s v="srinivas"/>
        <s v="shankar reddy"/>
        <s v="ratan"/>
        <s v="ravi"/>
        <s v="kalyan"/>
        <s v="shankariah"/>
        <s v="Arjun"/>
        <s v="malli kumar"/>
        <s v="subba reddy"/>
        <s v="Navraj singh"/>
        <s v="satish"/>
        <s v="maha"/>
        <s v="raju"/>
        <s v="Mallareddy"/>
        <s v="vinodh"/>
        <s v="hall mark"/>
        <s v="sai balaji constructuions"/>
        <s v="Manish Reddy"/>
        <s v="Emany Constructions"/>
        <s v="balaih"/>
        <s v="niraj"/>
        <s v="dharma reddy"/>
        <s v="gopi"/>
        <s v="mallesh"/>
        <s v="venkatesh"/>
        <s v="Ramesh"/>
        <s v="ramu"/>
        <s v="cmany"/>
        <s v="rohith reddy"/>
        <s v="venu"/>
        <s v="Rahul"/>
        <s v="kondaih"/>
        <s v="bharath"/>
        <s v="mohamad"/>
        <s v="new land"/>
        <s v="B somaiah"/>
        <s v="madhavroa"/>
        <s v="sagar"/>
        <s v="Engineer associates"/>
        <s v="Csk construction"/>
        <s v="vikas"/>
        <s v="validus Infra"/>
        <s v="madhu"/>
        <s v="Dr.raju"/>
        <s v="Bepi Ecil"/>
        <s v="sri lakshmi"/>
        <s v="shiva reddy"/>
        <s v="Surendar reddy"/>
        <s v="Akbar"/>
        <s v="joginath"/>
        <s v="altanalt"/>
        <s v="Mahesh"/>
        <s v="kala"/>
        <s v="naiudu"/>
        <s v="buchi reddy"/>
        <s v="yadhagiri"/>
        <s v="riyaz"/>
        <s v="L.S.R engineers"/>
        <s v="sri panchami De"/>
        <s v="mai sammat"/>
        <s v="nagarjuna"/>
        <s v="Bn reddy"/>
        <s v="suresh reddy"/>
        <s v="Harika drugs"/>
        <s v="Harish"/>
        <s v="optus entrerprises"/>
        <s v="Sidhula"/>
        <s v="G M sir"/>
        <s v="Hm towers"/>
        <s v="Akshith"/>
        <s v="Balral"/>
        <s v="srauda"/>
        <s v="decimrastruct"/>
        <s v="praveen"/>
        <s v="krishna"/>
        <s v="mohan"/>
        <s v="B santhosh"/>
        <s v="sravan"/>
        <s v="Bahadhur sing"/>
      </sharedItems>
    </cacheField>
    <cacheField name="Score" numFmtId="165">
      <sharedItems containsSemiMixedTypes="0" containsString="0" containsNumber="1" minValue="8.5665640429787207E-2" maxValue="2.9005271062163196"/>
    </cacheField>
    <cacheField name="Segment" numFmtId="0">
      <sharedItems count="4">
        <s v="Loyal"/>
        <s v="Potential Loyalist"/>
        <s v="Need Attention"/>
        <s v="At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eetha reddy" refreshedDate="46170.659073726849" createdVersion="8" refreshedVersion="8" minRefreshableVersion="3" recordCount="329" xr:uid="{752941C1-8CAE-4F31-BCE8-B83C524B1ACB}">
  <cacheSource type="worksheet">
    <worksheetSource ref="A1:I330" sheet="Prediction"/>
  </cacheSource>
  <cacheFields count="9">
    <cacheField name="Date" numFmtId="14">
      <sharedItems containsSemiMixedTypes="0" containsNonDate="0" containsDate="1" containsString="0" minDate="2025-02-01T00:00:00" maxDate="2025-05-30T00:00:00"/>
    </cacheField>
    <cacheField name="Grade" numFmtId="0">
      <sharedItems/>
    </cacheField>
    <cacheField name="Quantity(m3)" numFmtId="0">
      <sharedItems containsSemiMixedTypes="0" containsString="0" containsNumber="1" minValue="1" maxValue="8.5"/>
    </cacheField>
    <cacheField name="No of transit mixers" numFmtId="0">
      <sharedItems containsSemiMixedTypes="0" containsString="0" containsNumber="1" containsInteger="1" minValue="1" maxValue="40"/>
    </cacheField>
    <cacheField name="Client" numFmtId="0">
      <sharedItems count="81">
        <s v="Client79"/>
        <s v="Client19"/>
        <s v="Client21"/>
        <s v="Client42"/>
        <s v="Client81"/>
        <s v="Client67"/>
        <s v="Client60"/>
        <s v="Client47"/>
        <s v="Client10"/>
        <s v="Client80"/>
        <s v="Client7"/>
        <s v="Client71"/>
        <s v="Client37"/>
        <s v="Client2"/>
        <s v="Client50"/>
        <s v="Client6"/>
        <s v="Client5"/>
        <s v="Client25"/>
        <s v="Client4"/>
        <s v="Client54"/>
        <s v="Client52"/>
        <s v="Client76"/>
        <s v="Client20"/>
        <s v="Client39"/>
        <s v="Client72"/>
        <s v="Client8"/>
        <s v="Client62"/>
        <s v="Client33"/>
        <s v="Client68"/>
        <s v="Client69"/>
        <s v="Client73"/>
        <s v="Client59"/>
        <s v="Client49"/>
        <s v="Client18"/>
        <s v="Client15"/>
        <s v="Client66"/>
        <s v="Client77"/>
        <s v="Client44"/>
        <s v="Client51"/>
        <s v="Client1"/>
        <s v="Client38"/>
        <s v="Client30"/>
        <s v="Client26"/>
        <s v="Client23"/>
        <s v="Client24"/>
        <s v="Client9"/>
        <s v="Client16"/>
        <s v="Client40"/>
        <s v="Client57"/>
        <s v="Client78"/>
        <s v="Client63"/>
        <s v="Client14"/>
        <s v="Client46"/>
        <s v="Client28"/>
        <s v="Client32"/>
        <s v="Client3"/>
        <s v="Client74"/>
        <s v="Client12"/>
        <s v="Client27"/>
        <s v="Client41"/>
        <s v="Client58"/>
        <s v="Client75"/>
        <s v="Client45"/>
        <s v="Client61"/>
        <s v="Client70"/>
        <s v="Client55"/>
        <s v="Client17"/>
        <s v="Client48"/>
        <s v="Client43"/>
        <s v="Client29"/>
        <s v="Client34"/>
        <s v="Client13"/>
        <s v="Client11"/>
        <s v="Client35"/>
        <s v="Client64"/>
        <s v="Client31"/>
        <s v="Client22"/>
        <s v="Client65"/>
        <s v="Client36"/>
        <s v="Client53"/>
        <s v="Client56"/>
      </sharedItems>
    </cacheField>
    <cacheField name="cement" numFmtId="2">
      <sharedItems containsSemiMixedTypes="0" containsString="0" containsNumber="1" minValue="0.21" maxValue="57"/>
    </cacheField>
    <cacheField name="sand" numFmtId="2">
      <sharedItems containsSemiMixedTypes="0" containsString="0" containsNumber="1" minValue="0.628" maxValue="186.048"/>
    </cacheField>
    <cacheField name="Revenue" numFmtId="2">
      <sharedItems containsSemiMixedTypes="0" containsString="0" containsNumber="1" containsInteger="1" minValue="4000" maxValue="44200"/>
    </cacheField>
    <cacheField name="Total Quantity" numFmtId="2">
      <sharedItems containsSemiMixedTypes="0" containsString="0" containsNumber="1" minValue="1" maxValue="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">
  <r>
    <x v="0"/>
    <s v="M25"/>
    <n v="3.5"/>
    <n v="1"/>
    <s v="vikas"/>
    <x v="0"/>
    <x v="0"/>
  </r>
  <r>
    <x v="0"/>
    <s v="M25"/>
    <n v="2.5"/>
    <n v="1"/>
    <s v="vikas"/>
    <x v="1"/>
    <x v="1"/>
  </r>
  <r>
    <x v="1"/>
    <s v="M25"/>
    <n v="7.25"/>
    <n v="2"/>
    <s v="Emany Constructions"/>
    <x v="2"/>
    <x v="2"/>
  </r>
  <r>
    <x v="2"/>
    <s v="M30"/>
    <n v="5.5"/>
    <n v="1"/>
    <s v="G M sir"/>
    <x v="3"/>
    <x v="3"/>
  </r>
  <r>
    <x v="2"/>
    <s v="M30"/>
    <n v="5"/>
    <n v="1"/>
    <s v="G M sir"/>
    <x v="4"/>
    <x v="4"/>
  </r>
  <r>
    <x v="2"/>
    <s v="M20"/>
    <n v="7"/>
    <n v="5"/>
    <s v="Manish Reddy"/>
    <x v="5"/>
    <x v="5"/>
  </r>
  <r>
    <x v="2"/>
    <s v="M20"/>
    <n v="3"/>
    <n v="1"/>
    <s v="Manish Reddy"/>
    <x v="6"/>
    <x v="6"/>
  </r>
  <r>
    <x v="3"/>
    <s v="M20"/>
    <n v="7"/>
    <n v="5"/>
    <s v="yadhagiri"/>
    <x v="5"/>
    <x v="5"/>
  </r>
  <r>
    <x v="3"/>
    <s v="M30"/>
    <n v="3"/>
    <n v="1"/>
    <s v="yadhagiri"/>
    <x v="7"/>
    <x v="7"/>
  </r>
  <r>
    <x v="3"/>
    <s v="M20"/>
    <n v="7"/>
    <n v="5"/>
    <s v="Sidhula"/>
    <x v="5"/>
    <x v="5"/>
  </r>
  <r>
    <x v="3"/>
    <s v="M15"/>
    <n v="6"/>
    <n v="1"/>
    <s v="S.S.V Construction"/>
    <x v="8"/>
    <x v="8"/>
  </r>
  <r>
    <x v="4"/>
    <s v="M20"/>
    <n v="7"/>
    <n v="2"/>
    <s v="Navraj singh"/>
    <x v="9"/>
    <x v="9"/>
  </r>
  <r>
    <x v="4"/>
    <s v="M20"/>
    <n v="3"/>
    <n v="1"/>
    <s v="Navraj singh"/>
    <x v="6"/>
    <x v="6"/>
  </r>
  <r>
    <x v="4"/>
    <s v="M20"/>
    <n v="7"/>
    <n v="6"/>
    <s v="Bepi Ecil"/>
    <x v="10"/>
    <x v="10"/>
  </r>
  <r>
    <x v="4"/>
    <s v="M20"/>
    <n v="4"/>
    <n v="1"/>
    <s v="Bepi Ecil"/>
    <x v="11"/>
    <x v="11"/>
  </r>
  <r>
    <x v="4"/>
    <s v="M20"/>
    <n v="1"/>
    <n v="1"/>
    <s v="Bepi Ecil"/>
    <x v="12"/>
    <x v="12"/>
  </r>
  <r>
    <x v="4"/>
    <s v="M10"/>
    <n v="7"/>
    <n v="3"/>
    <s v="vinodh"/>
    <x v="13"/>
    <x v="13"/>
  </r>
  <r>
    <x v="4"/>
    <s v="M30"/>
    <n v="7"/>
    <n v="1"/>
    <s v="S.S.V Construction"/>
    <x v="14"/>
    <x v="14"/>
  </r>
  <r>
    <x v="5"/>
    <s v="M10"/>
    <n v="7"/>
    <n v="1"/>
    <s v="vinodh"/>
    <x v="15"/>
    <x v="15"/>
  </r>
  <r>
    <x v="5"/>
    <s v="M30"/>
    <n v="7"/>
    <n v="1"/>
    <s v="S.S.V Construction"/>
    <x v="14"/>
    <x v="14"/>
  </r>
  <r>
    <x v="5"/>
    <s v="M20"/>
    <n v="5"/>
    <n v="1"/>
    <s v="Bahadhur sing"/>
    <x v="16"/>
    <x v="16"/>
  </r>
  <r>
    <x v="5"/>
    <s v="M20"/>
    <n v="4.5"/>
    <n v="1"/>
    <s v="Navraj singh"/>
    <x v="17"/>
    <x v="17"/>
  </r>
  <r>
    <x v="5"/>
    <s v="M20"/>
    <n v="7"/>
    <n v="5"/>
    <s v="sri panchami De"/>
    <x v="5"/>
    <x v="5"/>
  </r>
  <r>
    <x v="5"/>
    <s v="M20"/>
    <n v="2"/>
    <n v="1"/>
    <s v="sri panchami De"/>
    <x v="18"/>
    <x v="18"/>
  </r>
  <r>
    <x v="5"/>
    <s v="M20"/>
    <n v="6.5"/>
    <n v="2"/>
    <s v="Mahesh"/>
    <x v="19"/>
    <x v="19"/>
  </r>
  <r>
    <x v="5"/>
    <s v="M30"/>
    <n v="7"/>
    <n v="1"/>
    <s v="S.S.V Construction"/>
    <x v="14"/>
    <x v="14"/>
  </r>
  <r>
    <x v="6"/>
    <s v="M25"/>
    <n v="6"/>
    <n v="1"/>
    <s v="Akshith"/>
    <x v="20"/>
    <x v="20"/>
  </r>
  <r>
    <x v="6"/>
    <s v="M25"/>
    <n v="3"/>
    <n v="1"/>
    <s v="Akshith"/>
    <x v="21"/>
    <x v="21"/>
  </r>
  <r>
    <x v="6"/>
    <s v="M20"/>
    <n v="7"/>
    <n v="4"/>
    <s v="Manish Reddy"/>
    <x v="22"/>
    <x v="22"/>
  </r>
  <r>
    <x v="7"/>
    <s v="M20"/>
    <n v="7"/>
    <n v="1"/>
    <s v="Manish Reddy"/>
    <x v="23"/>
    <x v="23"/>
  </r>
  <r>
    <x v="7"/>
    <s v="M30"/>
    <n v="7"/>
    <n v="4"/>
    <s v="vinodh"/>
    <x v="24"/>
    <x v="24"/>
  </r>
  <r>
    <x v="8"/>
    <s v="M30"/>
    <n v="7"/>
    <n v="10"/>
    <s v="vinodh"/>
    <x v="25"/>
    <x v="25"/>
  </r>
  <r>
    <x v="8"/>
    <s v="M30"/>
    <n v="7"/>
    <n v="3"/>
    <s v="S.S.V Construction"/>
    <x v="26"/>
    <x v="26"/>
  </r>
  <r>
    <x v="9"/>
    <s v="M30"/>
    <n v="7"/>
    <n v="5"/>
    <s v="vinodh"/>
    <x v="27"/>
    <x v="27"/>
  </r>
  <r>
    <x v="9"/>
    <s v="M30"/>
    <n v="7"/>
    <n v="1"/>
    <s v="S.S.V Construction"/>
    <x v="14"/>
    <x v="14"/>
  </r>
  <r>
    <x v="9"/>
    <s v="M30"/>
    <n v="5"/>
    <n v="1"/>
    <s v="vinodh"/>
    <x v="4"/>
    <x v="4"/>
  </r>
  <r>
    <x v="9"/>
    <s v="M30"/>
    <n v="5.5"/>
    <n v="1"/>
    <s v="vinodh"/>
    <x v="3"/>
    <x v="3"/>
  </r>
  <r>
    <x v="10"/>
    <s v="M15"/>
    <n v="7"/>
    <n v="2"/>
    <s v="optus entrerprises"/>
    <x v="28"/>
    <x v="28"/>
  </r>
  <r>
    <x v="10"/>
    <s v="M30"/>
    <n v="7"/>
    <n v="15"/>
    <s v="B somaiah"/>
    <x v="29"/>
    <x v="29"/>
  </r>
  <r>
    <x v="10"/>
    <s v="M30"/>
    <n v="7"/>
    <n v="2"/>
    <s v="B santhosh"/>
    <x v="30"/>
    <x v="30"/>
  </r>
  <r>
    <x v="10"/>
    <s v="M30"/>
    <n v="7"/>
    <n v="1"/>
    <s v="S.S.V Construction"/>
    <x v="14"/>
    <x v="14"/>
  </r>
  <r>
    <x v="10"/>
    <s v="M15"/>
    <n v="3.5"/>
    <n v="1"/>
    <s v="optus entrerprises"/>
    <x v="31"/>
    <x v="31"/>
  </r>
  <r>
    <x v="11"/>
    <s v="M25"/>
    <n v="7.5"/>
    <n v="1"/>
    <s v="Harika drugs"/>
    <x v="32"/>
    <x v="32"/>
  </r>
  <r>
    <x v="11"/>
    <s v="M30"/>
    <n v="7"/>
    <n v="1"/>
    <s v="S.S.V Construction"/>
    <x v="14"/>
    <x v="14"/>
  </r>
  <r>
    <x v="12"/>
    <s v="M25"/>
    <n v="8.5"/>
    <n v="1"/>
    <s v="Arjun"/>
    <x v="33"/>
    <x v="14"/>
  </r>
  <r>
    <x v="13"/>
    <s v="M25"/>
    <n v="5"/>
    <n v="1"/>
    <s v="Harika drugs"/>
    <x v="34"/>
    <x v="33"/>
  </r>
  <r>
    <x v="13"/>
    <s v="M25"/>
    <n v="7"/>
    <n v="5"/>
    <s v="Ramesh"/>
    <x v="35"/>
    <x v="34"/>
  </r>
  <r>
    <x v="14"/>
    <s v="M25"/>
    <n v="7"/>
    <n v="2"/>
    <s v="Ramesh"/>
    <x v="36"/>
    <x v="35"/>
  </r>
  <r>
    <x v="14"/>
    <s v="M20"/>
    <n v="7"/>
    <n v="3"/>
    <s v="Manish Reddy"/>
    <x v="37"/>
    <x v="36"/>
  </r>
  <r>
    <x v="15"/>
    <s v="M25"/>
    <n v="7"/>
    <n v="4"/>
    <s v="Rahul"/>
    <x v="38"/>
    <x v="37"/>
  </r>
  <r>
    <x v="15"/>
    <s v="M20"/>
    <n v="7"/>
    <n v="4"/>
    <s v="validus Infra"/>
    <x v="22"/>
    <x v="22"/>
  </r>
  <r>
    <x v="16"/>
    <s v="M20"/>
    <n v="7"/>
    <n v="4"/>
    <s v="validus Infra"/>
    <x v="22"/>
    <x v="22"/>
  </r>
  <r>
    <x v="16"/>
    <s v="M30"/>
    <n v="7"/>
    <n v="1"/>
    <s v="S.S.V Construction"/>
    <x v="14"/>
    <x v="14"/>
  </r>
  <r>
    <x v="17"/>
    <s v="M30"/>
    <n v="6"/>
    <n v="1"/>
    <s v="S.S.V Construction"/>
    <x v="39"/>
    <x v="38"/>
  </r>
  <r>
    <x v="17"/>
    <s v="M20"/>
    <n v="6"/>
    <n v="7"/>
    <s v="Engineer associates"/>
    <x v="10"/>
    <x v="10"/>
  </r>
  <r>
    <x v="17"/>
    <s v="M20"/>
    <n v="3"/>
    <n v="1"/>
    <s v="Engineer associates"/>
    <x v="6"/>
    <x v="6"/>
  </r>
  <r>
    <x v="17"/>
    <s v="M10"/>
    <n v="7"/>
    <n v="3"/>
    <s v="Mallareddy"/>
    <x v="13"/>
    <x v="13"/>
  </r>
  <r>
    <x v="17"/>
    <s v="M10"/>
    <n v="2.5"/>
    <n v="1"/>
    <s v="Mallareddy"/>
    <x v="40"/>
    <x v="39"/>
  </r>
  <r>
    <x v="18"/>
    <s v="M30"/>
    <n v="6"/>
    <n v="1"/>
    <s v="S.S.V Construction"/>
    <x v="39"/>
    <x v="38"/>
  </r>
  <r>
    <x v="18"/>
    <s v="M20"/>
    <n v="7"/>
    <n v="1"/>
    <s v="Navraj singh"/>
    <x v="23"/>
    <x v="23"/>
  </r>
  <r>
    <x v="18"/>
    <s v="M20"/>
    <n v="4"/>
    <n v="1"/>
    <s v="Navraj singh"/>
    <x v="11"/>
    <x v="11"/>
  </r>
  <r>
    <x v="18"/>
    <s v="M30"/>
    <n v="7"/>
    <n v="1"/>
    <s v="S.S.V Construction"/>
    <x v="14"/>
    <x v="14"/>
  </r>
  <r>
    <x v="18"/>
    <s v="M20"/>
    <n v="6"/>
    <n v="2"/>
    <s v="srinivas"/>
    <x v="41"/>
    <x v="40"/>
  </r>
  <r>
    <x v="19"/>
    <s v="M30"/>
    <n v="5"/>
    <n v="1"/>
    <s v="S.S.V Construction"/>
    <x v="4"/>
    <x v="4"/>
  </r>
  <r>
    <x v="19"/>
    <s v="M25"/>
    <n v="6"/>
    <n v="1"/>
    <s v="Mallareddy"/>
    <x v="20"/>
    <x v="20"/>
  </r>
  <r>
    <x v="19"/>
    <s v="M25"/>
    <n v="2"/>
    <n v="1"/>
    <s v="Mallareddy"/>
    <x v="42"/>
    <x v="41"/>
  </r>
  <r>
    <x v="20"/>
    <s v="M20"/>
    <n v="6"/>
    <n v="2"/>
    <s v="balaih"/>
    <x v="41"/>
    <x v="40"/>
  </r>
  <r>
    <x v="20"/>
    <s v="M25"/>
    <n v="4"/>
    <n v="1"/>
    <s v="balaih"/>
    <x v="43"/>
    <x v="42"/>
  </r>
  <r>
    <x v="20"/>
    <s v="M30"/>
    <n v="7"/>
    <n v="1"/>
    <s v="S.S.V Construction"/>
    <x v="14"/>
    <x v="14"/>
  </r>
  <r>
    <x v="21"/>
    <s v="M25"/>
    <n v="4.5"/>
    <n v="1"/>
    <s v="sai balaji constructuions"/>
    <x v="44"/>
    <x v="43"/>
  </r>
  <r>
    <x v="21"/>
    <s v="M25"/>
    <n v="3.5"/>
    <n v="1"/>
    <s v="Mallareddy"/>
    <x v="0"/>
    <x v="0"/>
  </r>
  <r>
    <x v="21"/>
    <s v="M10"/>
    <n v="7"/>
    <n v="1"/>
    <s v="L.S.R engineers"/>
    <x v="15"/>
    <x v="15"/>
  </r>
  <r>
    <x v="21"/>
    <s v="M10"/>
    <n v="3"/>
    <n v="1"/>
    <s v="L.S.R engineers"/>
    <x v="45"/>
    <x v="44"/>
  </r>
  <r>
    <x v="22"/>
    <s v="M25"/>
    <n v="2.5"/>
    <n v="1"/>
    <s v="Mallareddy"/>
    <x v="1"/>
    <x v="1"/>
  </r>
  <r>
    <x v="22"/>
    <s v="M20"/>
    <n v="6"/>
    <n v="1"/>
    <s v="srinivas"/>
    <x v="46"/>
    <x v="45"/>
  </r>
  <r>
    <x v="22"/>
    <s v="M15"/>
    <n v="7"/>
    <n v="5"/>
    <s v="Arjun"/>
    <x v="47"/>
    <x v="46"/>
  </r>
  <r>
    <x v="22"/>
    <s v="M15"/>
    <n v="6"/>
    <n v="1"/>
    <s v="Arjun"/>
    <x v="8"/>
    <x v="8"/>
  </r>
  <r>
    <x v="22"/>
    <s v="M20"/>
    <n v="4"/>
    <n v="1"/>
    <s v="Navraj singh"/>
    <x v="11"/>
    <x v="11"/>
  </r>
  <r>
    <x v="23"/>
    <s v="M15"/>
    <n v="7"/>
    <n v="5"/>
    <s v="Arjun"/>
    <x v="47"/>
    <x v="46"/>
  </r>
  <r>
    <x v="23"/>
    <s v="M15"/>
    <n v="6"/>
    <n v="1"/>
    <s v="Arjun"/>
    <x v="8"/>
    <x v="8"/>
  </r>
  <r>
    <x v="24"/>
    <s v="M15"/>
    <n v="7"/>
    <n v="6"/>
    <s v="Arjun"/>
    <x v="48"/>
    <x v="47"/>
  </r>
  <r>
    <x v="24"/>
    <s v="M15"/>
    <n v="7"/>
    <n v="1"/>
    <s v="S.S.V Construction"/>
    <x v="49"/>
    <x v="48"/>
  </r>
  <r>
    <x v="25"/>
    <s v="M15"/>
    <n v="7"/>
    <n v="8"/>
    <s v="Arjun"/>
    <x v="50"/>
    <x v="49"/>
  </r>
  <r>
    <x v="25"/>
    <s v="M30"/>
    <n v="7"/>
    <n v="2"/>
    <s v="S.S.V Construction"/>
    <x v="30"/>
    <x v="30"/>
  </r>
  <r>
    <x v="26"/>
    <s v="M15"/>
    <n v="7"/>
    <n v="5"/>
    <s v="Arjun"/>
    <x v="47"/>
    <x v="46"/>
  </r>
  <r>
    <x v="27"/>
    <s v="M20"/>
    <n v="7"/>
    <n v="3"/>
    <s v="srauda"/>
    <x v="37"/>
    <x v="36"/>
  </r>
  <r>
    <x v="28"/>
    <s v="M20"/>
    <n v="6"/>
    <n v="3"/>
    <s v="Manish Reddy"/>
    <x v="51"/>
    <x v="50"/>
  </r>
  <r>
    <x v="28"/>
    <s v="M30"/>
    <n v="7"/>
    <n v="4"/>
    <s v="S.S.V Construction"/>
    <x v="24"/>
    <x v="24"/>
  </r>
  <r>
    <x v="29"/>
    <s v="M20"/>
    <n v="7"/>
    <n v="1"/>
    <s v="sravan"/>
    <x v="23"/>
    <x v="23"/>
  </r>
  <r>
    <x v="29"/>
    <s v="M30"/>
    <n v="7"/>
    <n v="5"/>
    <s v="subba reddy"/>
    <x v="27"/>
    <x v="27"/>
  </r>
  <r>
    <x v="30"/>
    <s v="M30"/>
    <n v="7"/>
    <n v="3"/>
    <s v="subba reddy"/>
    <x v="26"/>
    <x v="26"/>
  </r>
  <r>
    <x v="30"/>
    <s v="M25"/>
    <n v="8.5"/>
    <n v="1"/>
    <s v="Arjun"/>
    <x v="33"/>
    <x v="14"/>
  </r>
  <r>
    <x v="30"/>
    <s v="M20"/>
    <n v="6.5"/>
    <n v="5"/>
    <s v="rohith reddy"/>
    <x v="52"/>
    <x v="51"/>
  </r>
  <r>
    <x v="31"/>
    <s v="M20"/>
    <n v="6"/>
    <n v="1"/>
    <s v="rohith reddy"/>
    <x v="46"/>
    <x v="45"/>
  </r>
  <r>
    <x v="31"/>
    <s v="M20"/>
    <n v="6.5"/>
    <n v="1"/>
    <s v="rohith reddy"/>
    <x v="53"/>
    <x v="52"/>
  </r>
  <r>
    <x v="31"/>
    <s v="M20"/>
    <n v="7"/>
    <n v="3"/>
    <s v="Navraj singh"/>
    <x v="37"/>
    <x v="36"/>
  </r>
  <r>
    <x v="31"/>
    <s v="M10"/>
    <n v="3"/>
    <n v="1"/>
    <s v="L.S.R engineers"/>
    <x v="45"/>
    <x v="44"/>
  </r>
  <r>
    <x v="31"/>
    <s v="M30"/>
    <n v="7"/>
    <n v="1"/>
    <s v="S.S.V Construction"/>
    <x v="14"/>
    <x v="14"/>
  </r>
  <r>
    <x v="31"/>
    <s v="M15"/>
    <n v="7"/>
    <n v="1"/>
    <s v="Arjun"/>
    <x v="49"/>
    <x v="48"/>
  </r>
  <r>
    <x v="32"/>
    <s v="M25"/>
    <n v="6.5"/>
    <n v="3"/>
    <s v="niraj"/>
    <x v="54"/>
    <x v="53"/>
  </r>
  <r>
    <x v="32"/>
    <s v="M25"/>
    <n v="6.25"/>
    <n v="2"/>
    <s v="niraj"/>
    <x v="55"/>
    <x v="54"/>
  </r>
  <r>
    <x v="32"/>
    <s v="M25"/>
    <n v="3"/>
    <n v="1"/>
    <s v="niraj"/>
    <x v="21"/>
    <x v="21"/>
  </r>
  <r>
    <x v="33"/>
    <s v="M20"/>
    <n v="4"/>
    <n v="1"/>
    <s v="niraj"/>
    <x v="11"/>
    <x v="11"/>
  </r>
  <r>
    <x v="34"/>
    <s v="M30"/>
    <n v="7"/>
    <n v="1"/>
    <s v="S.S.V Construction"/>
    <x v="14"/>
    <x v="14"/>
  </r>
  <r>
    <x v="34"/>
    <s v="M25"/>
    <n v="8"/>
    <n v="2"/>
    <s v="Mahesh"/>
    <x v="56"/>
    <x v="55"/>
  </r>
  <r>
    <x v="35"/>
    <s v="M30"/>
    <n v="5"/>
    <n v="1"/>
    <s v="S.S.V Construction"/>
    <x v="4"/>
    <x v="4"/>
  </r>
  <r>
    <x v="36"/>
    <s v="M25"/>
    <n v="3.5"/>
    <n v="1"/>
    <s v="Dr.raju"/>
    <x v="0"/>
    <x v="0"/>
  </r>
  <r>
    <x v="36"/>
    <s v="M25"/>
    <n v="6.5"/>
    <n v="8"/>
    <s v="Dr.raju"/>
    <x v="57"/>
    <x v="56"/>
  </r>
  <r>
    <x v="37"/>
    <s v="M25"/>
    <n v="7"/>
    <n v="5"/>
    <s v="Csk construction"/>
    <x v="35"/>
    <x v="34"/>
  </r>
  <r>
    <x v="37"/>
    <s v="M25"/>
    <n v="3"/>
    <n v="1"/>
    <s v="Csk construction"/>
    <x v="21"/>
    <x v="21"/>
  </r>
  <r>
    <x v="37"/>
    <s v="M25"/>
    <n v="4"/>
    <n v="1"/>
    <s v="Csk construction"/>
    <x v="43"/>
    <x v="42"/>
  </r>
  <r>
    <x v="37"/>
    <s v="M10"/>
    <n v="7"/>
    <n v="2"/>
    <s v="Mallareddy"/>
    <x v="58"/>
    <x v="57"/>
  </r>
  <r>
    <x v="37"/>
    <s v="M30"/>
    <n v="7"/>
    <n v="1"/>
    <s v="S.S.V Construction"/>
    <x v="14"/>
    <x v="14"/>
  </r>
  <r>
    <x v="37"/>
    <s v="M25"/>
    <n v="7"/>
    <n v="1"/>
    <s v="balaih"/>
    <x v="59"/>
    <x v="58"/>
  </r>
  <r>
    <x v="37"/>
    <s v="M25"/>
    <n v="5"/>
    <n v="1"/>
    <s v="balaih"/>
    <x v="34"/>
    <x v="33"/>
  </r>
  <r>
    <x v="38"/>
    <s v="M25"/>
    <n v="7"/>
    <n v="1"/>
    <s v="shiva reddy"/>
    <x v="59"/>
    <x v="58"/>
  </r>
  <r>
    <x v="38"/>
    <s v="M25"/>
    <n v="6"/>
    <n v="1"/>
    <s v="shiva reddy"/>
    <x v="20"/>
    <x v="20"/>
  </r>
  <r>
    <x v="38"/>
    <s v="M25"/>
    <n v="5.5"/>
    <n v="1"/>
    <s v="shiva reddy"/>
    <x v="60"/>
    <x v="59"/>
  </r>
  <r>
    <x v="39"/>
    <s v="M20"/>
    <n v="7"/>
    <n v="2"/>
    <s v="venkatesh"/>
    <x v="9"/>
    <x v="9"/>
  </r>
  <r>
    <x v="39"/>
    <s v="M20"/>
    <n v="5"/>
    <n v="1"/>
    <s v="venkatesh"/>
    <x v="16"/>
    <x v="16"/>
  </r>
  <r>
    <x v="39"/>
    <s v="M10"/>
    <n v="4"/>
    <n v="1"/>
    <s v="Mallareddy"/>
    <x v="61"/>
    <x v="60"/>
  </r>
  <r>
    <x v="40"/>
    <s v="M20"/>
    <n v="6.5"/>
    <n v="2"/>
    <s v="srinivas"/>
    <x v="19"/>
    <x v="19"/>
  </r>
  <r>
    <x v="41"/>
    <s v="M25"/>
    <n v="7"/>
    <n v="1"/>
    <s v="mohan"/>
    <x v="59"/>
    <x v="58"/>
  </r>
  <r>
    <x v="41"/>
    <s v="M25"/>
    <n v="6"/>
    <n v="2"/>
    <s v="praveen"/>
    <x v="62"/>
    <x v="61"/>
  </r>
  <r>
    <x v="42"/>
    <s v="M20"/>
    <n v="7"/>
    <n v="1"/>
    <s v="sai balaji constructuions"/>
    <x v="23"/>
    <x v="23"/>
  </r>
  <r>
    <x v="42"/>
    <s v="M15"/>
    <n v="6.5"/>
    <n v="2"/>
    <s v="Akbar"/>
    <x v="63"/>
    <x v="62"/>
  </r>
  <r>
    <x v="42"/>
    <s v="M15"/>
    <n v="4.5"/>
    <n v="1"/>
    <s v="Akbar"/>
    <x v="64"/>
    <x v="63"/>
  </r>
  <r>
    <x v="42"/>
    <s v="M15"/>
    <n v="4"/>
    <n v="1"/>
    <s v="Akbar"/>
    <x v="65"/>
    <x v="64"/>
  </r>
  <r>
    <x v="42"/>
    <s v="M15"/>
    <n v="7"/>
    <n v="3"/>
    <s v="S.S.V Construction"/>
    <x v="66"/>
    <x v="65"/>
  </r>
  <r>
    <x v="43"/>
    <s v="M15"/>
    <n v="7"/>
    <n v="4"/>
    <s v="S.S.V Construction"/>
    <x v="67"/>
    <x v="66"/>
  </r>
  <r>
    <x v="43"/>
    <s v="M20"/>
    <n v="6"/>
    <n v="1"/>
    <s v="mai sammat"/>
    <x v="46"/>
    <x v="45"/>
  </r>
  <r>
    <x v="43"/>
    <s v="M20"/>
    <n v="5"/>
    <n v="2"/>
    <s v="mai sammat"/>
    <x v="68"/>
    <x v="67"/>
  </r>
  <r>
    <x v="44"/>
    <s v="M25"/>
    <n v="7"/>
    <n v="11"/>
    <s v="Srinivas"/>
    <x v="69"/>
    <x v="68"/>
  </r>
  <r>
    <x v="45"/>
    <s v="M20"/>
    <n v="7"/>
    <n v="3"/>
    <s v="kalyan"/>
    <x v="37"/>
    <x v="36"/>
  </r>
  <r>
    <x v="45"/>
    <s v="M20"/>
    <n v="2.5"/>
    <n v="1"/>
    <s v="kalyan"/>
    <x v="70"/>
    <x v="69"/>
  </r>
  <r>
    <x v="45"/>
    <s v="M20"/>
    <n v="2.5"/>
    <n v="1"/>
    <s v="sai balaji constructuions"/>
    <x v="70"/>
    <x v="69"/>
  </r>
  <r>
    <x v="45"/>
    <s v="M25"/>
    <n v="7"/>
    <n v="5"/>
    <s v="subba reddy"/>
    <x v="35"/>
    <x v="34"/>
  </r>
  <r>
    <x v="46"/>
    <s v="M25"/>
    <n v="7"/>
    <n v="2"/>
    <s v="subba reddy"/>
    <x v="36"/>
    <x v="35"/>
  </r>
  <r>
    <x v="46"/>
    <s v="M30"/>
    <n v="6"/>
    <n v="5"/>
    <s v="S.S.V Construction"/>
    <x v="71"/>
    <x v="70"/>
  </r>
  <r>
    <x v="46"/>
    <s v="M30"/>
    <n v="8.5"/>
    <n v="1"/>
    <s v="Arjun"/>
    <x v="72"/>
    <x v="71"/>
  </r>
  <r>
    <x v="47"/>
    <s v="M30"/>
    <n v="6"/>
    <n v="8"/>
    <s v="S.S.V Construction"/>
    <x v="73"/>
    <x v="72"/>
  </r>
  <r>
    <x v="47"/>
    <s v="M30"/>
    <n v="5"/>
    <n v="1"/>
    <s v="S.S.V Construction"/>
    <x v="4"/>
    <x v="4"/>
  </r>
  <r>
    <x v="47"/>
    <s v="M30"/>
    <n v="2"/>
    <n v="1"/>
    <s v="S.S.V Construction"/>
    <x v="74"/>
    <x v="73"/>
  </r>
  <r>
    <x v="48"/>
    <s v="M20"/>
    <n v="4.5"/>
    <n v="1"/>
    <s v="Harish"/>
    <x v="17"/>
    <x v="17"/>
  </r>
  <r>
    <x v="48"/>
    <s v="M20"/>
    <n v="4"/>
    <n v="1"/>
    <s v="Harish"/>
    <x v="11"/>
    <x v="11"/>
  </r>
  <r>
    <x v="48"/>
    <s v="M10"/>
    <n v="6"/>
    <n v="7"/>
    <s v="Grr constructions"/>
    <x v="75"/>
    <x v="74"/>
  </r>
  <r>
    <x v="48"/>
    <s v="M10"/>
    <n v="6"/>
    <n v="4"/>
    <s v="hall mark"/>
    <x v="76"/>
    <x v="75"/>
  </r>
  <r>
    <x v="48"/>
    <s v="M20"/>
    <n v="7"/>
    <n v="3"/>
    <s v="Navraj singh"/>
    <x v="37"/>
    <x v="36"/>
  </r>
  <r>
    <x v="48"/>
    <s v="M20"/>
    <n v="6"/>
    <n v="1"/>
    <s v="Navraj singh"/>
    <x v="46"/>
    <x v="45"/>
  </r>
  <r>
    <x v="48"/>
    <s v="M20"/>
    <n v="3"/>
    <n v="1"/>
    <s v="Navraj singh"/>
    <x v="6"/>
    <x v="6"/>
  </r>
  <r>
    <x v="48"/>
    <s v="M20"/>
    <n v="7"/>
    <n v="1"/>
    <s v="srinivas"/>
    <x v="23"/>
    <x v="23"/>
  </r>
  <r>
    <x v="49"/>
    <s v="M30"/>
    <n v="6"/>
    <n v="38"/>
    <s v="Grr constructions"/>
    <x v="77"/>
    <x v="76"/>
  </r>
  <r>
    <x v="50"/>
    <s v="M25"/>
    <n v="7"/>
    <n v="2"/>
    <s v="srinivas"/>
    <x v="36"/>
    <x v="35"/>
  </r>
  <r>
    <x v="51"/>
    <s v="M20"/>
    <n v="6"/>
    <n v="5"/>
    <s v="niraj"/>
    <x v="78"/>
    <x v="77"/>
  </r>
  <r>
    <x v="51"/>
    <s v="M25"/>
    <n v="5.5"/>
    <n v="1"/>
    <s v="niraj"/>
    <x v="60"/>
    <x v="59"/>
  </r>
  <r>
    <x v="51"/>
    <s v="M25"/>
    <n v="2.5"/>
    <n v="1"/>
    <s v="Engineer associates"/>
    <x v="1"/>
    <x v="1"/>
  </r>
  <r>
    <x v="51"/>
    <s v="M20"/>
    <n v="7"/>
    <n v="1"/>
    <s v="hall mark"/>
    <x v="23"/>
    <x v="23"/>
  </r>
  <r>
    <x v="51"/>
    <s v="M20"/>
    <n v="1"/>
    <n v="1"/>
    <s v="hall mark"/>
    <x v="12"/>
    <x v="12"/>
  </r>
  <r>
    <x v="51"/>
    <s v="M20"/>
    <n v="6"/>
    <n v="2"/>
    <s v="Balral"/>
    <x v="41"/>
    <x v="40"/>
  </r>
  <r>
    <x v="51"/>
    <s v="M20"/>
    <n v="7"/>
    <n v="1"/>
    <s v="decimrastruct"/>
    <x v="23"/>
    <x v="23"/>
  </r>
  <r>
    <x v="51"/>
    <s v="M20"/>
    <n v="6"/>
    <n v="1"/>
    <s v="Ramesh"/>
    <x v="46"/>
    <x v="45"/>
  </r>
  <r>
    <x v="51"/>
    <s v="M20"/>
    <n v="6.5"/>
    <n v="2"/>
    <s v="Ramesh"/>
    <x v="19"/>
    <x v="19"/>
  </r>
  <r>
    <x v="52"/>
    <s v="M20"/>
    <n v="7"/>
    <n v="3"/>
    <s v="mallesh"/>
    <x v="37"/>
    <x v="36"/>
  </r>
  <r>
    <x v="53"/>
    <s v="M25"/>
    <n v="6"/>
    <n v="40"/>
    <s v="ravi"/>
    <x v="79"/>
    <x v="78"/>
  </r>
  <r>
    <x v="54"/>
    <s v="M10"/>
    <n v="6"/>
    <n v="1"/>
    <s v="srinivas"/>
    <x v="80"/>
    <x v="79"/>
  </r>
  <r>
    <x v="54"/>
    <s v="M10"/>
    <n v="1"/>
    <n v="1"/>
    <s v="srinivas"/>
    <x v="81"/>
    <x v="80"/>
  </r>
  <r>
    <x v="54"/>
    <s v="M25"/>
    <n v="7"/>
    <n v="8"/>
    <s v="venu"/>
    <x v="82"/>
    <x v="81"/>
  </r>
  <r>
    <x v="54"/>
    <s v="M25"/>
    <n v="6"/>
    <n v="1"/>
    <s v="venu"/>
    <x v="20"/>
    <x v="20"/>
  </r>
  <r>
    <x v="54"/>
    <s v="M25"/>
    <n v="6.5"/>
    <n v="1"/>
    <s v="venu"/>
    <x v="83"/>
    <x v="82"/>
  </r>
  <r>
    <x v="54"/>
    <s v="M10"/>
    <n v="6"/>
    <n v="2"/>
    <s v="rohith reddy"/>
    <x v="84"/>
    <x v="83"/>
  </r>
  <r>
    <x v="55"/>
    <s v="M20"/>
    <n v="3"/>
    <n v="3"/>
    <s v="satish"/>
    <x v="85"/>
    <x v="84"/>
  </r>
  <r>
    <x v="55"/>
    <s v="M10"/>
    <n v="1"/>
    <n v="1"/>
    <s v="satish"/>
    <x v="81"/>
    <x v="80"/>
  </r>
  <r>
    <x v="55"/>
    <s v="M20"/>
    <n v="6"/>
    <n v="1"/>
    <s v="hall mark"/>
    <x v="46"/>
    <x v="45"/>
  </r>
  <r>
    <x v="55"/>
    <s v="M20"/>
    <n v="8"/>
    <n v="1"/>
    <s v="hall mark"/>
    <x v="86"/>
    <x v="85"/>
  </r>
  <r>
    <x v="55"/>
    <s v="M25"/>
    <n v="7"/>
    <n v="2"/>
    <s v="srinivas"/>
    <x v="36"/>
    <x v="35"/>
  </r>
  <r>
    <x v="56"/>
    <s v="M20"/>
    <n v="5.25"/>
    <n v="2"/>
    <s v="sai balaji constructuions"/>
    <x v="87"/>
    <x v="86"/>
  </r>
  <r>
    <x v="56"/>
    <s v="M25"/>
    <n v="7"/>
    <n v="7"/>
    <s v="subba reddy"/>
    <x v="88"/>
    <x v="87"/>
  </r>
  <r>
    <x v="57"/>
    <s v="M20"/>
    <n v="6"/>
    <n v="1"/>
    <s v="hall mark"/>
    <x v="46"/>
    <x v="45"/>
  </r>
  <r>
    <x v="57"/>
    <s v="M20"/>
    <n v="7"/>
    <n v="4"/>
    <s v="cmany"/>
    <x v="22"/>
    <x v="22"/>
  </r>
  <r>
    <x v="57"/>
    <s v="M20"/>
    <n v="6"/>
    <n v="1"/>
    <s v="cmany"/>
    <x v="46"/>
    <x v="45"/>
  </r>
  <r>
    <x v="57"/>
    <s v="M25"/>
    <n v="7"/>
    <n v="2"/>
    <s v="cmany"/>
    <x v="36"/>
    <x v="35"/>
  </r>
  <r>
    <x v="57"/>
    <s v="M20"/>
    <n v="6.5"/>
    <n v="1"/>
    <s v="cmany"/>
    <x v="53"/>
    <x v="52"/>
  </r>
  <r>
    <x v="57"/>
    <s v="M20"/>
    <n v="4"/>
    <n v="1"/>
    <s v="hall mark"/>
    <x v="11"/>
    <x v="11"/>
  </r>
  <r>
    <x v="58"/>
    <s v="M25"/>
    <n v="6"/>
    <n v="1"/>
    <s v="naiudu"/>
    <x v="20"/>
    <x v="20"/>
  </r>
  <r>
    <x v="58"/>
    <s v="M25"/>
    <n v="5.5"/>
    <n v="1"/>
    <s v="naiudu"/>
    <x v="60"/>
    <x v="59"/>
  </r>
  <r>
    <x v="58"/>
    <s v="M20"/>
    <n v="1"/>
    <n v="1"/>
    <s v="hall mark"/>
    <x v="12"/>
    <x v="12"/>
  </r>
  <r>
    <x v="58"/>
    <s v="M30"/>
    <n v="6"/>
    <n v="4"/>
    <s v="ravi"/>
    <x v="89"/>
    <x v="88"/>
  </r>
  <r>
    <x v="58"/>
    <s v="M20"/>
    <n v="6"/>
    <n v="2"/>
    <s v="joginath"/>
    <x v="41"/>
    <x v="40"/>
  </r>
  <r>
    <x v="58"/>
    <s v="M20"/>
    <n v="7"/>
    <n v="1"/>
    <s v="joginath"/>
    <x v="23"/>
    <x v="23"/>
  </r>
  <r>
    <x v="59"/>
    <s v="M30"/>
    <n v="6.5"/>
    <n v="1"/>
    <s v="ravi"/>
    <x v="90"/>
    <x v="89"/>
  </r>
  <r>
    <x v="59"/>
    <s v="M25"/>
    <n v="3"/>
    <n v="1"/>
    <s v="krishna"/>
    <x v="21"/>
    <x v="21"/>
  </r>
  <r>
    <x v="60"/>
    <s v="M30"/>
    <n v="5.5"/>
    <n v="1"/>
    <s v="ravi"/>
    <x v="3"/>
    <x v="3"/>
  </r>
  <r>
    <x v="60"/>
    <s v="M25"/>
    <n v="6.5"/>
    <n v="1"/>
    <s v="altanalt"/>
    <x v="83"/>
    <x v="82"/>
  </r>
  <r>
    <x v="60"/>
    <s v="M25"/>
    <n v="6"/>
    <n v="1"/>
    <s v="altanalt"/>
    <x v="20"/>
    <x v="20"/>
  </r>
  <r>
    <x v="60"/>
    <s v="M20"/>
    <n v="3"/>
    <n v="1"/>
    <s v="sai balaji constructuions"/>
    <x v="6"/>
    <x v="6"/>
  </r>
  <r>
    <x v="60"/>
    <s v="M15"/>
    <n v="6"/>
    <n v="1"/>
    <s v="S.S.V Construction"/>
    <x v="8"/>
    <x v="8"/>
  </r>
  <r>
    <x v="60"/>
    <s v="M25"/>
    <n v="7"/>
    <n v="3"/>
    <s v="Surendar reddy"/>
    <x v="91"/>
    <x v="90"/>
  </r>
  <r>
    <x v="60"/>
    <s v="M20"/>
    <n v="6"/>
    <n v="1"/>
    <s v="hall mark"/>
    <x v="46"/>
    <x v="45"/>
  </r>
  <r>
    <x v="60"/>
    <s v="M25"/>
    <n v="5"/>
    <n v="1"/>
    <s v="Surendar reddy"/>
    <x v="34"/>
    <x v="33"/>
  </r>
  <r>
    <x v="60"/>
    <s v="M10"/>
    <n v="4"/>
    <n v="1"/>
    <s v="ravi"/>
    <x v="61"/>
    <x v="60"/>
  </r>
  <r>
    <x v="60"/>
    <s v="M25"/>
    <n v="7"/>
    <n v="5"/>
    <s v="venkatesh"/>
    <x v="35"/>
    <x v="34"/>
  </r>
  <r>
    <x v="60"/>
    <s v="M25"/>
    <n v="6"/>
    <n v="2"/>
    <s v="venkatesh"/>
    <x v="62"/>
    <x v="61"/>
  </r>
  <r>
    <x v="60"/>
    <s v="M20"/>
    <n v="4"/>
    <n v="1"/>
    <s v="hall mark"/>
    <x v="11"/>
    <x v="11"/>
  </r>
  <r>
    <x v="61"/>
    <s v="M20"/>
    <n v="8"/>
    <n v="2"/>
    <s v="Bn reddy"/>
    <x v="92"/>
    <x v="91"/>
  </r>
  <r>
    <x v="61"/>
    <s v="M20"/>
    <n v="4.5"/>
    <n v="1"/>
    <s v="Hm towers"/>
    <x v="17"/>
    <x v="17"/>
  </r>
  <r>
    <x v="62"/>
    <s v="M30"/>
    <n v="7"/>
    <n v="2"/>
    <s v="ravi"/>
    <x v="30"/>
    <x v="30"/>
  </r>
  <r>
    <x v="62"/>
    <s v="M30"/>
    <n v="6"/>
    <n v="1"/>
    <s v="ravi"/>
    <x v="39"/>
    <x v="38"/>
  </r>
  <r>
    <x v="63"/>
    <s v="M25"/>
    <n v="7"/>
    <n v="11"/>
    <s v="malli kumar"/>
    <x v="69"/>
    <x v="68"/>
  </r>
  <r>
    <x v="63"/>
    <s v="M30"/>
    <n v="5.5"/>
    <n v="1"/>
    <s v="ravi"/>
    <x v="3"/>
    <x v="3"/>
  </r>
  <r>
    <x v="63"/>
    <s v="M30"/>
    <n v="7"/>
    <n v="3"/>
    <s v="riyaz"/>
    <x v="26"/>
    <x v="26"/>
  </r>
  <r>
    <x v="63"/>
    <s v="M30"/>
    <n v="7"/>
    <n v="3"/>
    <s v="S.S.V Construction"/>
    <x v="26"/>
    <x v="26"/>
  </r>
  <r>
    <x v="64"/>
    <s v="M25"/>
    <n v="5.5"/>
    <n v="2"/>
    <s v="suresh reddy"/>
    <x v="93"/>
    <x v="92"/>
  </r>
  <r>
    <x v="64"/>
    <s v="M30"/>
    <n v="4.5"/>
    <n v="1"/>
    <s v="ravi"/>
    <x v="94"/>
    <x v="93"/>
  </r>
  <r>
    <x v="64"/>
    <s v="M30"/>
    <n v="3"/>
    <n v="1"/>
    <s v="ravi"/>
    <x v="7"/>
    <x v="7"/>
  </r>
  <r>
    <x v="64"/>
    <s v="M30"/>
    <n v="5"/>
    <n v="2"/>
    <s v="S.S.V Construction"/>
    <x v="95"/>
    <x v="94"/>
  </r>
  <r>
    <x v="64"/>
    <s v="M10"/>
    <n v="3"/>
    <n v="1"/>
    <s v="S.S.V Construction"/>
    <x v="45"/>
    <x v="44"/>
  </r>
  <r>
    <x v="64"/>
    <s v="M25"/>
    <n v="7"/>
    <n v="2"/>
    <s v="nagarjuna"/>
    <x v="36"/>
    <x v="35"/>
  </r>
  <r>
    <x v="65"/>
    <s v="M25"/>
    <n v="7"/>
    <n v="4"/>
    <s v="sagar"/>
    <x v="38"/>
    <x v="37"/>
  </r>
  <r>
    <x v="65"/>
    <s v="M25"/>
    <n v="7"/>
    <n v="1"/>
    <s v="sagar"/>
    <x v="59"/>
    <x v="58"/>
  </r>
  <r>
    <x v="66"/>
    <s v="M25"/>
    <n v="5"/>
    <n v="1"/>
    <s v="vikas"/>
    <x v="34"/>
    <x v="33"/>
  </r>
  <r>
    <x v="66"/>
    <s v="M30"/>
    <n v="6"/>
    <n v="2"/>
    <s v="ravi"/>
    <x v="96"/>
    <x v="95"/>
  </r>
  <r>
    <x v="66"/>
    <s v="M30"/>
    <n v="5"/>
    <n v="1"/>
    <s v="ravi"/>
    <x v="4"/>
    <x v="4"/>
  </r>
  <r>
    <x v="66"/>
    <s v="M15"/>
    <n v="5.5"/>
    <n v="2"/>
    <s v="S.S.V Construction"/>
    <x v="97"/>
    <x v="96"/>
  </r>
  <r>
    <x v="66"/>
    <s v="M20"/>
    <n v="4"/>
    <n v="1"/>
    <s v="S.S.V Construction"/>
    <x v="11"/>
    <x v="11"/>
  </r>
  <r>
    <x v="67"/>
    <s v="M10"/>
    <n v="7"/>
    <n v="1"/>
    <s v="S.S.V Construction"/>
    <x v="15"/>
    <x v="15"/>
  </r>
  <r>
    <x v="67"/>
    <s v="M30"/>
    <n v="7"/>
    <n v="2"/>
    <s v="S.S.V Construction"/>
    <x v="30"/>
    <x v="30"/>
  </r>
  <r>
    <x v="67"/>
    <s v="M20"/>
    <n v="5"/>
    <n v="1"/>
    <s v="sai balaji constructuions"/>
    <x v="16"/>
    <x v="16"/>
  </r>
  <r>
    <x v="67"/>
    <s v="M30"/>
    <n v="5"/>
    <n v="1"/>
    <s v="ravi"/>
    <x v="4"/>
    <x v="4"/>
  </r>
  <r>
    <x v="68"/>
    <s v="M30"/>
    <n v="4"/>
    <n v="1"/>
    <s v="ravi"/>
    <x v="98"/>
    <x v="97"/>
  </r>
  <r>
    <x v="68"/>
    <s v="M35"/>
    <n v="7.5"/>
    <n v="5"/>
    <s v="sri lakshmi"/>
    <x v="99"/>
    <x v="98"/>
  </r>
  <r>
    <x v="69"/>
    <s v="M30"/>
    <n v="3.25"/>
    <n v="1"/>
    <s v="ravi"/>
    <x v="100"/>
    <x v="99"/>
  </r>
  <r>
    <x v="69"/>
    <s v="M30"/>
    <n v="6"/>
    <n v="2"/>
    <s v="S.S.V Construction"/>
    <x v="96"/>
    <x v="95"/>
  </r>
  <r>
    <x v="69"/>
    <s v="M30"/>
    <n v="7"/>
    <n v="1"/>
    <s v="S.S.V Construction"/>
    <x v="14"/>
    <x v="14"/>
  </r>
  <r>
    <x v="69"/>
    <s v="M10"/>
    <n v="7.5"/>
    <n v="1"/>
    <s v="S.S.V Construction"/>
    <x v="101"/>
    <x v="100"/>
  </r>
  <r>
    <x v="69"/>
    <s v="M25"/>
    <n v="7.5"/>
    <n v="2"/>
    <s v="Rahul"/>
    <x v="102"/>
    <x v="101"/>
  </r>
  <r>
    <x v="70"/>
    <s v="M25"/>
    <n v="7"/>
    <n v="2"/>
    <s v="malli kumar"/>
    <x v="36"/>
    <x v="35"/>
  </r>
  <r>
    <x v="71"/>
    <s v="M20"/>
    <n v="3"/>
    <n v="1"/>
    <s v="ramu"/>
    <x v="6"/>
    <x v="6"/>
  </r>
  <r>
    <x v="71"/>
    <s v="M30"/>
    <n v="6"/>
    <n v="2"/>
    <s v="S.S.V Construction"/>
    <x v="96"/>
    <x v="95"/>
  </r>
  <r>
    <x v="71"/>
    <s v="M30"/>
    <n v="2"/>
    <n v="1"/>
    <s v="S.S.V Construction"/>
    <x v="74"/>
    <x v="73"/>
  </r>
  <r>
    <x v="72"/>
    <s v="M25"/>
    <n v="5.5"/>
    <n v="1"/>
    <s v="dharma reddy"/>
    <x v="60"/>
    <x v="59"/>
  </r>
  <r>
    <x v="72"/>
    <s v="M25"/>
    <n v="6"/>
    <n v="3"/>
    <s v="dharma reddy"/>
    <x v="103"/>
    <x v="102"/>
  </r>
  <r>
    <x v="72"/>
    <s v="M25"/>
    <n v="7"/>
    <n v="5"/>
    <s v="dharma reddy"/>
    <x v="35"/>
    <x v="34"/>
  </r>
  <r>
    <x v="72"/>
    <s v="M25"/>
    <n v="8"/>
    <n v="1"/>
    <s v="dharma reddy"/>
    <x v="104"/>
    <x v="103"/>
  </r>
  <r>
    <x v="72"/>
    <s v="M15"/>
    <n v="6"/>
    <n v="1"/>
    <s v="Grr constructions"/>
    <x v="8"/>
    <x v="8"/>
  </r>
  <r>
    <x v="72"/>
    <s v="M25"/>
    <n v="7"/>
    <n v="5"/>
    <s v="new land"/>
    <x v="35"/>
    <x v="34"/>
  </r>
  <r>
    <x v="72"/>
    <s v="M25"/>
    <n v="1.5"/>
    <n v="1"/>
    <s v="new land"/>
    <x v="105"/>
    <x v="104"/>
  </r>
  <r>
    <x v="73"/>
    <s v="M30"/>
    <n v="7"/>
    <n v="2"/>
    <s v="Grr constructions"/>
    <x v="30"/>
    <x v="30"/>
  </r>
  <r>
    <x v="73"/>
    <s v="M25"/>
    <n v="7"/>
    <n v="2"/>
    <s v="mohamad"/>
    <x v="36"/>
    <x v="35"/>
  </r>
  <r>
    <x v="73"/>
    <s v="M25"/>
    <n v="6.5"/>
    <n v="1"/>
    <s v="mohamad"/>
    <x v="83"/>
    <x v="82"/>
  </r>
  <r>
    <x v="73"/>
    <s v="M20"/>
    <n v="6"/>
    <n v="1"/>
    <s v="kala"/>
    <x v="46"/>
    <x v="45"/>
  </r>
  <r>
    <x v="73"/>
    <s v="M20"/>
    <n v="7"/>
    <n v="2"/>
    <s v="madhavroa"/>
    <x v="9"/>
    <x v="9"/>
  </r>
  <r>
    <x v="73"/>
    <s v="M20"/>
    <n v="6"/>
    <n v="1"/>
    <s v="madhavroa"/>
    <x v="46"/>
    <x v="45"/>
  </r>
  <r>
    <x v="73"/>
    <s v="M30"/>
    <n v="7"/>
    <n v="1"/>
    <s v="Grr constructions"/>
    <x v="14"/>
    <x v="14"/>
  </r>
  <r>
    <x v="73"/>
    <s v="M30"/>
    <n v="6.5"/>
    <n v="1"/>
    <s v="Grr constructions"/>
    <x v="90"/>
    <x v="89"/>
  </r>
  <r>
    <x v="73"/>
    <s v="M30"/>
    <n v="6"/>
    <n v="1"/>
    <s v="S.S.V Construction"/>
    <x v="39"/>
    <x v="38"/>
  </r>
  <r>
    <x v="73"/>
    <s v="M30"/>
    <n v="5"/>
    <n v="1"/>
    <s v="S.S.V Construction"/>
    <x v="4"/>
    <x v="4"/>
  </r>
  <r>
    <x v="73"/>
    <s v="M30"/>
    <n v="3"/>
    <n v="1"/>
    <s v="S.S.V Construction"/>
    <x v="7"/>
    <x v="7"/>
  </r>
  <r>
    <x v="73"/>
    <s v="M25"/>
    <n v="4"/>
    <n v="1"/>
    <s v="buchi reddy"/>
    <x v="43"/>
    <x v="42"/>
  </r>
  <r>
    <x v="74"/>
    <s v="M20"/>
    <n v="7"/>
    <n v="6"/>
    <s v="bharath"/>
    <x v="10"/>
    <x v="10"/>
  </r>
  <r>
    <x v="75"/>
    <s v="M10"/>
    <n v="6"/>
    <n v="3"/>
    <s v="sai balaji constructuions"/>
    <x v="106"/>
    <x v="105"/>
  </r>
  <r>
    <x v="76"/>
    <s v="M30"/>
    <n v="6.5"/>
    <n v="1"/>
    <s v="srinivas"/>
    <x v="90"/>
    <x v="89"/>
  </r>
  <r>
    <x v="76"/>
    <s v="M30"/>
    <n v="7"/>
    <n v="1"/>
    <s v="srinivas"/>
    <x v="14"/>
    <x v="14"/>
  </r>
  <r>
    <x v="76"/>
    <s v="M20"/>
    <n v="7"/>
    <n v="1"/>
    <s v="Navraj singh"/>
    <x v="23"/>
    <x v="23"/>
  </r>
  <r>
    <x v="76"/>
    <s v="M20"/>
    <n v="6"/>
    <n v="2"/>
    <s v="balaih"/>
    <x v="41"/>
    <x v="40"/>
  </r>
  <r>
    <x v="77"/>
    <s v="M10"/>
    <n v="7"/>
    <n v="1"/>
    <s v="madhu"/>
    <x v="15"/>
    <x v="15"/>
  </r>
  <r>
    <x v="77"/>
    <s v="M10"/>
    <n v="6"/>
    <n v="2"/>
    <s v="shankar reddy"/>
    <x v="84"/>
    <x v="83"/>
  </r>
  <r>
    <x v="77"/>
    <s v="M10"/>
    <n v="7"/>
    <n v="3"/>
    <s v="shankar reddy"/>
    <x v="13"/>
    <x v="13"/>
  </r>
  <r>
    <x v="78"/>
    <s v="M30"/>
    <n v="6"/>
    <n v="14"/>
    <s v="shankar reddy"/>
    <x v="107"/>
    <x v="106"/>
  </r>
  <r>
    <x v="78"/>
    <s v="M10"/>
    <n v="7"/>
    <n v="2"/>
    <s v="shankar reddy"/>
    <x v="58"/>
    <x v="57"/>
  </r>
  <r>
    <x v="78"/>
    <s v="M10"/>
    <n v="6"/>
    <n v="1"/>
    <s v="shankar reddy"/>
    <x v="80"/>
    <x v="79"/>
  </r>
  <r>
    <x v="79"/>
    <s v="M10"/>
    <n v="7"/>
    <n v="2"/>
    <s v="shankar reddy"/>
    <x v="58"/>
    <x v="57"/>
  </r>
  <r>
    <x v="79"/>
    <s v="M30"/>
    <n v="6"/>
    <n v="12"/>
    <s v="shankar reddy"/>
    <x v="108"/>
    <x v="107"/>
  </r>
  <r>
    <x v="80"/>
    <s v="M30"/>
    <n v="6"/>
    <n v="8"/>
    <s v="shankar reddy"/>
    <x v="73"/>
    <x v="72"/>
  </r>
  <r>
    <x v="80"/>
    <s v="M10"/>
    <n v="7"/>
    <n v="3"/>
    <s v="shankar reddy"/>
    <x v="13"/>
    <x v="13"/>
  </r>
  <r>
    <x v="80"/>
    <s v="M15"/>
    <n v="7"/>
    <n v="1"/>
    <s v="Grr constructions"/>
    <x v="49"/>
    <x v="48"/>
  </r>
  <r>
    <x v="80"/>
    <s v="M15"/>
    <n v="6"/>
    <n v="1"/>
    <s v="Grr constructions"/>
    <x v="8"/>
    <x v="8"/>
  </r>
  <r>
    <x v="81"/>
    <s v="M25"/>
    <n v="7"/>
    <n v="1"/>
    <s v="ramu"/>
    <x v="59"/>
    <x v="58"/>
  </r>
  <r>
    <x v="81"/>
    <s v="M25"/>
    <n v="7"/>
    <n v="6"/>
    <s v="Emany Constructions"/>
    <x v="109"/>
    <x v="108"/>
  </r>
  <r>
    <x v="81"/>
    <s v="M25"/>
    <n v="6.5"/>
    <n v="1"/>
    <s v="Emany Constructions"/>
    <x v="83"/>
    <x v="82"/>
  </r>
  <r>
    <x v="81"/>
    <s v="M25"/>
    <n v="5"/>
    <n v="1"/>
    <s v="ramu"/>
    <x v="34"/>
    <x v="33"/>
  </r>
  <r>
    <x v="81"/>
    <s v="M30"/>
    <n v="6"/>
    <n v="11"/>
    <s v="shankar reddy"/>
    <x v="110"/>
    <x v="109"/>
  </r>
  <r>
    <x v="81"/>
    <s v="M30"/>
    <n v="7"/>
    <n v="2"/>
    <s v="Grr constructions"/>
    <x v="30"/>
    <x v="30"/>
  </r>
  <r>
    <x v="81"/>
    <s v="M15"/>
    <n v="6"/>
    <n v="2"/>
    <s v="Grr constructions"/>
    <x v="111"/>
    <x v="110"/>
  </r>
  <r>
    <x v="81"/>
    <s v="M20"/>
    <n v="7"/>
    <n v="2"/>
    <s v="kondaih"/>
    <x v="9"/>
    <x v="9"/>
  </r>
  <r>
    <x v="82"/>
    <s v="M30"/>
    <n v="7"/>
    <n v="1"/>
    <s v="shankar reddy"/>
    <x v="14"/>
    <x v="14"/>
  </r>
  <r>
    <x v="82"/>
    <s v="M30"/>
    <n v="6"/>
    <n v="1"/>
    <s v="shankar reddy"/>
    <x v="39"/>
    <x v="38"/>
  </r>
  <r>
    <x v="82"/>
    <s v="M30"/>
    <n v="6"/>
    <n v="4"/>
    <s v="Grr constructions"/>
    <x v="89"/>
    <x v="88"/>
  </r>
  <r>
    <x v="82"/>
    <s v="M20"/>
    <n v="5"/>
    <n v="1"/>
    <s v="Mallareddy"/>
    <x v="16"/>
    <x v="16"/>
  </r>
  <r>
    <x v="82"/>
    <s v="M20"/>
    <n v="1.5"/>
    <n v="1"/>
    <s v="Mallareddy"/>
    <x v="112"/>
    <x v="111"/>
  </r>
  <r>
    <x v="83"/>
    <s v="M30"/>
    <n v="6"/>
    <n v="6"/>
    <s v="Grr constructions"/>
    <x v="113"/>
    <x v="112"/>
  </r>
  <r>
    <x v="84"/>
    <s v="M30"/>
    <n v="6"/>
    <n v="1"/>
    <s v="Grr constructions"/>
    <x v="39"/>
    <x v="38"/>
  </r>
  <r>
    <x v="84"/>
    <s v="M30"/>
    <n v="5"/>
    <n v="2"/>
    <s v="Grr constructions"/>
    <x v="95"/>
    <x v="94"/>
  </r>
  <r>
    <x v="84"/>
    <s v="M25"/>
    <n v="7"/>
    <n v="2"/>
    <s v="shankar reddy"/>
    <x v="36"/>
    <x v="35"/>
  </r>
  <r>
    <x v="84"/>
    <s v="M25"/>
    <n v="6"/>
    <n v="3"/>
    <s v="shankar reddy"/>
    <x v="103"/>
    <x v="102"/>
  </r>
  <r>
    <x v="85"/>
    <s v="M30"/>
    <n v="6"/>
    <n v="12"/>
    <s v="Grr constructions"/>
    <x v="108"/>
    <x v="107"/>
  </r>
  <r>
    <x v="85"/>
    <s v="M25"/>
    <n v="7"/>
    <n v="3"/>
    <s v="gopi"/>
    <x v="91"/>
    <x v="90"/>
  </r>
  <r>
    <x v="85"/>
    <s v="M25"/>
    <n v="4"/>
    <n v="1"/>
    <s v="gopi"/>
    <x v="43"/>
    <x v="42"/>
  </r>
  <r>
    <x v="85"/>
    <s v="M25"/>
    <n v="1"/>
    <n v="1"/>
    <s v="gopi"/>
    <x v="114"/>
    <x v="113"/>
  </r>
  <r>
    <x v="85"/>
    <s v="M30"/>
    <n v="6"/>
    <n v="2"/>
    <s v="mallesh"/>
    <x v="96"/>
    <x v="95"/>
  </r>
  <r>
    <x v="86"/>
    <s v="M30"/>
    <n v="5"/>
    <n v="2"/>
    <s v="Grr constructions"/>
    <x v="95"/>
    <x v="94"/>
  </r>
  <r>
    <x v="86"/>
    <s v="M30"/>
    <n v="6"/>
    <n v="3"/>
    <s v="Grr constructions"/>
    <x v="115"/>
    <x v="114"/>
  </r>
  <r>
    <x v="87"/>
    <s v="M30"/>
    <n v="6"/>
    <n v="4"/>
    <s v="Grr constructions"/>
    <x v="89"/>
    <x v="88"/>
  </r>
  <r>
    <x v="87"/>
    <s v="M30"/>
    <n v="5.5"/>
    <n v="1"/>
    <s v="Grr constructions"/>
    <x v="3"/>
    <x v="3"/>
  </r>
  <r>
    <x v="87"/>
    <s v="M25"/>
    <n v="7"/>
    <n v="5"/>
    <s v="subba reddy"/>
    <x v="35"/>
    <x v="34"/>
  </r>
  <r>
    <x v="88"/>
    <s v="M30"/>
    <n v="6"/>
    <n v="11"/>
    <s v="shankariah"/>
    <x v="110"/>
    <x v="109"/>
  </r>
  <r>
    <x v="89"/>
    <s v="M25"/>
    <n v="7"/>
    <n v="9"/>
    <s v="malli kumar"/>
    <x v="116"/>
    <x v="115"/>
  </r>
  <r>
    <x v="89"/>
    <s v="M25"/>
    <n v="4"/>
    <n v="1"/>
    <s v="malli kumar"/>
    <x v="43"/>
    <x v="42"/>
  </r>
  <r>
    <x v="89"/>
    <s v="M25"/>
    <n v="6"/>
    <n v="1"/>
    <s v="malli kumar"/>
    <x v="20"/>
    <x v="20"/>
  </r>
  <r>
    <x v="89"/>
    <s v="M25"/>
    <n v="4.75"/>
    <n v="1"/>
    <s v="malli kumar"/>
    <x v="117"/>
    <x v="116"/>
  </r>
  <r>
    <x v="89"/>
    <s v="M15"/>
    <n v="7"/>
    <n v="3"/>
    <s v="satish"/>
    <x v="66"/>
    <x v="65"/>
  </r>
  <r>
    <x v="89"/>
    <s v="M15"/>
    <n v="6"/>
    <n v="1"/>
    <s v="satish"/>
    <x v="8"/>
    <x v="8"/>
  </r>
  <r>
    <x v="90"/>
    <s v="M30"/>
    <n v="7"/>
    <n v="9"/>
    <s v="shankariah"/>
    <x v="118"/>
    <x v="117"/>
  </r>
  <r>
    <x v="90"/>
    <s v="M30"/>
    <n v="4"/>
    <n v="2"/>
    <s v="shankariah"/>
    <x v="119"/>
    <x v="118"/>
  </r>
  <r>
    <x v="90"/>
    <s v="M15"/>
    <n v="6"/>
    <n v="2"/>
    <s v="satish"/>
    <x v="111"/>
    <x v="110"/>
  </r>
  <r>
    <x v="90"/>
    <s v="M15"/>
    <n v="3"/>
    <n v="1"/>
    <s v="satish"/>
    <x v="120"/>
    <x v="119"/>
  </r>
  <r>
    <x v="91"/>
    <s v="M30"/>
    <n v="6"/>
    <n v="2"/>
    <s v="Grr constructions"/>
    <x v="96"/>
    <x v="95"/>
  </r>
  <r>
    <x v="91"/>
    <s v="M15"/>
    <n v="3"/>
    <n v="1"/>
    <s v="Grr constructions"/>
    <x v="120"/>
    <x v="119"/>
  </r>
  <r>
    <x v="91"/>
    <s v="M20"/>
    <n v="7"/>
    <n v="3"/>
    <s v="kalyan"/>
    <x v="37"/>
    <x v="36"/>
  </r>
  <r>
    <x v="91"/>
    <s v="M20"/>
    <n v="3.5"/>
    <n v="1"/>
    <s v="kalyan"/>
    <x v="121"/>
    <x v="120"/>
  </r>
  <r>
    <x v="92"/>
    <s v="M30"/>
    <n v="7"/>
    <n v="1"/>
    <s v="Grr constructions"/>
    <x v="14"/>
    <x v="14"/>
  </r>
  <r>
    <x v="93"/>
    <s v="M30"/>
    <n v="7"/>
    <n v="2"/>
    <s v="maha"/>
    <x v="30"/>
    <x v="30"/>
  </r>
  <r>
    <x v="93"/>
    <s v="M30"/>
    <n v="6"/>
    <n v="14"/>
    <s v="shankariah"/>
    <x v="107"/>
    <x v="106"/>
  </r>
  <r>
    <x v="93"/>
    <s v="M25"/>
    <n v="7"/>
    <n v="2"/>
    <s v="raju"/>
    <x v="36"/>
    <x v="35"/>
  </r>
  <r>
    <x v="93"/>
    <s v="M30"/>
    <n v="2.5"/>
    <n v="1"/>
    <s v="shankariah"/>
    <x v="122"/>
    <x v="121"/>
  </r>
  <r>
    <x v="93"/>
    <s v="M10"/>
    <n v="3.5"/>
    <n v="1"/>
    <s v="Grr constructions"/>
    <x v="123"/>
    <x v="122"/>
  </r>
  <r>
    <x v="94"/>
    <s v="M30"/>
    <n v="6"/>
    <n v="2"/>
    <s v="Grr constructions"/>
    <x v="96"/>
    <x v="95"/>
  </r>
  <r>
    <x v="95"/>
    <s v="M20"/>
    <n v="6"/>
    <n v="4"/>
    <s v="kalyan"/>
    <x v="124"/>
    <x v="123"/>
  </r>
  <r>
    <x v="96"/>
    <s v="M15"/>
    <n v="5"/>
    <n v="2"/>
    <s v="ratan"/>
    <x v="125"/>
    <x v="124"/>
  </r>
  <r>
    <x v="96"/>
    <s v="M30"/>
    <n v="6"/>
    <n v="4"/>
    <s v="srinivas"/>
    <x v="89"/>
    <x v="8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6313"/>
    <d v="1899-12-30T04:26:00"/>
    <d v="1899-12-30T06:20:00"/>
    <x v="0"/>
    <x v="0"/>
    <n v="114"/>
    <s v="Site A"/>
    <x v="0"/>
  </r>
  <r>
    <n v="6590"/>
    <d v="1899-12-30T04:50:00"/>
    <d v="1899-12-30T07:30:00"/>
    <x v="1"/>
    <x v="1"/>
    <n v="160"/>
    <s v="Site A"/>
    <x v="1"/>
  </r>
  <r>
    <n v="6316"/>
    <d v="1899-12-30T04:50:00"/>
    <d v="1899-12-30T07:20:00"/>
    <x v="2"/>
    <x v="2"/>
    <n v="150"/>
    <s v="Site A"/>
    <x v="1"/>
  </r>
  <r>
    <n v="6591"/>
    <d v="1899-12-30T05:00:00"/>
    <d v="1899-12-30T07:20:00"/>
    <x v="3"/>
    <x v="3"/>
    <n v="140"/>
    <s v="Site A"/>
    <x v="1"/>
  </r>
  <r>
    <n v="6892"/>
    <d v="1899-12-30T05:10:00"/>
    <d v="1899-12-30T08:00:00"/>
    <x v="4"/>
    <x v="4"/>
    <n v="170"/>
    <s v="Site A"/>
    <x v="1"/>
  </r>
  <r>
    <n v="6315"/>
    <d v="1899-12-30T05:21:00"/>
    <d v="1899-12-30T07:35:00"/>
    <x v="5"/>
    <x v="5"/>
    <n v="134"/>
    <s v="Site A"/>
    <x v="1"/>
  </r>
  <r>
    <n v="6313"/>
    <d v="1899-12-30T06:30:00"/>
    <d v="1899-12-30T09:00:00"/>
    <x v="0"/>
    <x v="2"/>
    <n v="150"/>
    <s v="Site A"/>
    <x v="1"/>
  </r>
  <r>
    <n v="6316"/>
    <d v="1899-12-30T07:00:00"/>
    <d v="1899-12-30T09:00:00"/>
    <x v="2"/>
    <x v="6"/>
    <n v="120"/>
    <s v="Site A"/>
    <x v="0"/>
  </r>
  <r>
    <n v="6591"/>
    <d v="1899-12-30T07:30:00"/>
    <d v="1899-12-30T11:40:00"/>
    <x v="3"/>
    <x v="7"/>
    <n v="250"/>
    <s v="Site A"/>
    <x v="0"/>
  </r>
  <r>
    <n v="6315"/>
    <d v="1899-12-30T07:35:00"/>
    <d v="1899-12-30T10:00:00"/>
    <x v="5"/>
    <x v="8"/>
    <n v="145"/>
    <s v="Site A"/>
    <x v="0"/>
  </r>
  <r>
    <n v="6590"/>
    <d v="1899-12-30T07:45:00"/>
    <d v="1899-12-30T10:00:00"/>
    <x v="1"/>
    <x v="9"/>
    <n v="135"/>
    <s v="Site A"/>
    <x v="0"/>
  </r>
  <r>
    <n v="6892"/>
    <d v="1899-12-30T08:00:00"/>
    <d v="1899-12-30T10:20:00"/>
    <x v="4"/>
    <x v="3"/>
    <n v="140"/>
    <s v="Site A"/>
    <x v="0"/>
  </r>
  <r>
    <n v="6316"/>
    <d v="1899-12-30T09:00:00"/>
    <d v="1899-12-30T12:20:00"/>
    <x v="2"/>
    <x v="10"/>
    <n v="200"/>
    <s v="Site A"/>
    <x v="0"/>
  </r>
  <r>
    <n v="6313"/>
    <d v="1899-12-30T09:10:00"/>
    <d v="1899-12-30T12:30:00"/>
    <x v="0"/>
    <x v="10"/>
    <n v="200"/>
    <s v="Site A"/>
    <x v="0"/>
  </r>
  <r>
    <n v="6315"/>
    <d v="1899-12-30T10:00:00"/>
    <d v="1899-12-30T13:00:00"/>
    <x v="5"/>
    <x v="11"/>
    <n v="180"/>
    <s v="Site A"/>
    <x v="0"/>
  </r>
  <r>
    <n v="6590"/>
    <d v="1899-12-30T10:20:00"/>
    <d v="1899-12-30T14:20:00"/>
    <x v="1"/>
    <x v="12"/>
    <n v="240"/>
    <s v="Site A"/>
    <x v="0"/>
  </r>
  <r>
    <n v="6892"/>
    <d v="1899-12-30T10:35:00"/>
    <d v="1899-12-30T15:10:00"/>
    <x v="4"/>
    <x v="13"/>
    <n v="275"/>
    <s v="Site A"/>
    <x v="0"/>
  </r>
  <r>
    <n v="6591"/>
    <d v="1899-12-30T11:00:00"/>
    <d v="1899-12-30T14:00:00"/>
    <x v="3"/>
    <x v="11"/>
    <n v="180"/>
    <s v="Site A"/>
    <x v="0"/>
  </r>
  <r>
    <n v="1476"/>
    <d v="1899-12-30T11:40:00"/>
    <d v="1899-12-30T15:00:00"/>
    <x v="6"/>
    <x v="10"/>
    <n v="200"/>
    <s v="Site A"/>
    <x v="0"/>
  </r>
  <r>
    <n v="529"/>
    <d v="1899-12-30T12:00:00"/>
    <d v="1899-12-30T15:20:00"/>
    <x v="7"/>
    <x v="10"/>
    <n v="200"/>
    <s v="Site A"/>
    <x v="2"/>
  </r>
  <r>
    <n v="6316"/>
    <d v="1899-12-30T12:30:00"/>
    <d v="1899-12-30T15:30:00"/>
    <x v="2"/>
    <x v="11"/>
    <n v="180"/>
    <s v="Site A"/>
    <x v="2"/>
  </r>
  <r>
    <n v="6313"/>
    <d v="1899-12-30T12:40:00"/>
    <d v="1899-12-30T15:40:00"/>
    <x v="0"/>
    <x v="11"/>
    <n v="180"/>
    <s v="Site A"/>
    <x v="2"/>
  </r>
  <r>
    <n v="6315"/>
    <d v="1899-12-30T13:20:00"/>
    <d v="1899-12-30T15:50:00"/>
    <x v="5"/>
    <x v="2"/>
    <n v="150"/>
    <s v="Site A"/>
    <x v="2"/>
  </r>
  <r>
    <n v="6591"/>
    <d v="1899-12-30T14:00:00"/>
    <d v="1899-12-30T17:00:00"/>
    <x v="3"/>
    <x v="11"/>
    <n v="180"/>
    <s v="Site A"/>
    <x v="2"/>
  </r>
  <r>
    <n v="6590"/>
    <d v="1899-12-30T14:30:00"/>
    <d v="1899-12-30T16:50:00"/>
    <x v="1"/>
    <x v="3"/>
    <n v="140"/>
    <s v="Site A"/>
    <x v="2"/>
  </r>
  <r>
    <n v="1476"/>
    <d v="1899-12-30T15:00:00"/>
    <d v="1899-12-30T16:55:00"/>
    <x v="6"/>
    <x v="14"/>
    <n v="115"/>
    <s v="Site A"/>
    <x v="2"/>
  </r>
  <r>
    <n v="6892"/>
    <d v="1899-12-30T15:10:00"/>
    <d v="1899-12-30T17:35:00"/>
    <x v="4"/>
    <x v="8"/>
    <n v="145"/>
    <s v="Site A"/>
    <x v="2"/>
  </r>
  <r>
    <n v="529"/>
    <d v="1899-12-30T15:20:00"/>
    <d v="1899-12-30T17:30:00"/>
    <x v="7"/>
    <x v="15"/>
    <n v="130"/>
    <s v="Site A"/>
    <x v="2"/>
  </r>
  <r>
    <n v="6316"/>
    <d v="1899-12-30T15:30:00"/>
    <d v="1899-12-30T17:55:00"/>
    <x v="2"/>
    <x v="8"/>
    <n v="145"/>
    <s v="Site A"/>
    <x v="2"/>
  </r>
  <r>
    <n v="6313"/>
    <d v="1899-12-30T15:40:00"/>
    <d v="1899-12-30T18:00:00"/>
    <x v="0"/>
    <x v="3"/>
    <n v="140"/>
    <s v="Site A"/>
    <x v="2"/>
  </r>
  <r>
    <n v="6315"/>
    <d v="1899-12-30T15:50:00"/>
    <d v="1899-12-30T18:00:00"/>
    <x v="5"/>
    <x v="15"/>
    <n v="130"/>
    <s v="Site A"/>
    <x v="2"/>
  </r>
  <r>
    <n v="6590"/>
    <d v="1899-12-30T16:50:00"/>
    <d v="1899-12-30T20:00:00"/>
    <x v="1"/>
    <x v="16"/>
    <n v="190"/>
    <s v="Site A"/>
    <x v="2"/>
  </r>
  <r>
    <n v="1476"/>
    <d v="1899-12-30T16:55:00"/>
    <d v="1899-12-30T20:30:00"/>
    <x v="6"/>
    <x v="17"/>
    <n v="215"/>
    <s v="Site A"/>
    <x v="2"/>
  </r>
  <r>
    <n v="6591"/>
    <d v="1899-12-30T17:00:00"/>
    <d v="1899-12-30T20:25:00"/>
    <x v="3"/>
    <x v="18"/>
    <n v="205"/>
    <s v="Site A"/>
    <x v="3"/>
  </r>
  <r>
    <n v="6892"/>
    <d v="1899-12-30T17:35:00"/>
    <d v="1899-12-30T20:45:00"/>
    <x v="4"/>
    <x v="16"/>
    <n v="190"/>
    <s v="Site A"/>
    <x v="3"/>
  </r>
  <r>
    <n v="6316"/>
    <d v="1899-12-30T17:55:00"/>
    <d v="1899-12-30T20:21:00"/>
    <x v="2"/>
    <x v="19"/>
    <n v="146"/>
    <s v="Site A"/>
    <x v="3"/>
  </r>
  <r>
    <n v="6313"/>
    <d v="1899-12-30T18:00:00"/>
    <d v="1899-12-30T21:00:00"/>
    <x v="0"/>
    <x v="11"/>
    <n v="180"/>
    <s v="Site A"/>
    <x v="3"/>
  </r>
  <r>
    <n v="6315"/>
    <d v="1899-12-30T21:00:00"/>
    <d v="1899-12-30T21:55:00"/>
    <x v="5"/>
    <x v="20"/>
    <n v="55"/>
    <s v="Site A"/>
    <x v="4"/>
  </r>
  <r>
    <n v="6892"/>
    <d v="1899-12-30T07:30:00"/>
    <d v="1899-12-30T08:00:00"/>
    <x v="8"/>
    <x v="21"/>
    <n v="30"/>
    <s v="Site B"/>
    <x v="0"/>
  </r>
  <r>
    <n v="6590"/>
    <d v="1899-12-30T07:35:00"/>
    <d v="1899-12-30T08:10:00"/>
    <x v="1"/>
    <x v="22"/>
    <n v="35"/>
    <s v="Site B"/>
    <x v="0"/>
  </r>
  <r>
    <n v="6591"/>
    <d v="1899-12-30T07:40:00"/>
    <d v="1899-12-30T08:20:00"/>
    <x v="3"/>
    <x v="23"/>
    <n v="40"/>
    <s v="Site B"/>
    <x v="0"/>
  </r>
  <r>
    <n v="6315"/>
    <d v="1899-12-30T07:50:00"/>
    <d v="1899-12-30T08:40:00"/>
    <x v="5"/>
    <x v="24"/>
    <n v="50"/>
    <s v="Site B"/>
    <x v="0"/>
  </r>
  <r>
    <n v="6313"/>
    <d v="1899-12-30T08:00:00"/>
    <d v="1899-12-30T08:45:00"/>
    <x v="4"/>
    <x v="25"/>
    <n v="45"/>
    <s v="Site B"/>
    <x v="0"/>
  </r>
  <r>
    <n v="6892"/>
    <d v="1899-12-30T08:10:00"/>
    <d v="1899-12-30T08:50:00"/>
    <x v="8"/>
    <x v="23"/>
    <n v="40"/>
    <s v="Site B"/>
    <x v="0"/>
  </r>
  <r>
    <n v="6590"/>
    <d v="1899-12-30T08:20:00"/>
    <d v="1899-12-30T09:10:00"/>
    <x v="1"/>
    <x v="24"/>
    <n v="50"/>
    <s v="Site B"/>
    <x v="0"/>
  </r>
  <r>
    <n v="6591"/>
    <d v="1899-12-30T08:30:00"/>
    <d v="1899-12-30T09:10:00"/>
    <x v="3"/>
    <x v="23"/>
    <n v="40"/>
    <s v="Site B"/>
    <x v="0"/>
  </r>
  <r>
    <n v="6315"/>
    <d v="1899-12-30T08:59:00"/>
    <d v="1899-12-30T09:15:00"/>
    <x v="5"/>
    <x v="26"/>
    <n v="16"/>
    <s v="Site B"/>
    <x v="0"/>
  </r>
  <r>
    <n v="6313"/>
    <d v="1899-12-30T09:10:00"/>
    <d v="1899-12-30T09:20:00"/>
    <x v="4"/>
    <x v="27"/>
    <n v="10"/>
    <s v="Site B"/>
    <x v="0"/>
  </r>
  <r>
    <n v="6316"/>
    <d v="1899-12-30T09:20:00"/>
    <d v="1899-12-30T10:15:00"/>
    <x v="0"/>
    <x v="20"/>
    <n v="55"/>
    <s v="Site B"/>
    <x v="0"/>
  </r>
  <r>
    <n v="6892"/>
    <d v="1899-12-30T09:30:00"/>
    <d v="1899-12-30T10:20:00"/>
    <x v="8"/>
    <x v="24"/>
    <n v="50"/>
    <s v="Site B"/>
    <x v="0"/>
  </r>
  <r>
    <n v="6590"/>
    <d v="1899-12-30T09:40:00"/>
    <d v="1899-12-30T10:30:00"/>
    <x v="1"/>
    <x v="24"/>
    <n v="50"/>
    <s v="Site B"/>
    <x v="0"/>
  </r>
  <r>
    <n v="6591"/>
    <d v="1899-12-30T09:50:00"/>
    <d v="1899-12-30T10:40:00"/>
    <x v="3"/>
    <x v="24"/>
    <n v="50"/>
    <s v="Site B"/>
    <x v="0"/>
  </r>
  <r>
    <n v="6315"/>
    <d v="1899-12-30T10:00:00"/>
    <d v="1899-12-30T11:00:00"/>
    <x v="5"/>
    <x v="28"/>
    <n v="60"/>
    <s v="Site B"/>
    <x v="0"/>
  </r>
  <r>
    <n v="6313"/>
    <d v="1899-12-30T10:10:00"/>
    <d v="1899-12-30T11:10:00"/>
    <x v="4"/>
    <x v="28"/>
    <n v="60"/>
    <s v="Site B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x v="0"/>
    <n v="2.9005271062163196"/>
    <x v="0"/>
  </r>
  <r>
    <x v="1"/>
    <n v="2.8983334546117696"/>
    <x v="0"/>
  </r>
  <r>
    <x v="2"/>
    <n v="2.2063317093039445"/>
    <x v="0"/>
  </r>
  <r>
    <x v="3"/>
    <n v="1.5863604572224594"/>
    <x v="0"/>
  </r>
  <r>
    <x v="4"/>
    <n v="1.3902792205827799"/>
    <x v="0"/>
  </r>
  <r>
    <x v="5"/>
    <n v="1.3502047383333085"/>
    <x v="0"/>
  </r>
  <r>
    <x v="6"/>
    <n v="1.3336612105087318"/>
    <x v="0"/>
  </r>
  <r>
    <x v="7"/>
    <n v="1.2671160005693369"/>
    <x v="0"/>
  </r>
  <r>
    <x v="8"/>
    <n v="1.0174445785423381"/>
    <x v="0"/>
  </r>
  <r>
    <x v="9"/>
    <n v="0.96585028914007487"/>
    <x v="1"/>
  </r>
  <r>
    <x v="10"/>
    <n v="0.96007608695404512"/>
    <x v="1"/>
  </r>
  <r>
    <x v="11"/>
    <n v="0.79993552277209834"/>
    <x v="1"/>
  </r>
  <r>
    <x v="12"/>
    <n v="0.75986303900652408"/>
    <x v="1"/>
  </r>
  <r>
    <x v="13"/>
    <n v="0.7419558911496662"/>
    <x v="1"/>
  </r>
  <r>
    <x v="14"/>
    <n v="0.74087426716851734"/>
    <x v="1"/>
  </r>
  <r>
    <x v="15"/>
    <n v="0.7017088026717464"/>
    <x v="1"/>
  </r>
  <r>
    <x v="16"/>
    <n v="0.6625547407424297"/>
    <x v="1"/>
  </r>
  <r>
    <x v="17"/>
    <n v="0.60500585513203808"/>
    <x v="1"/>
  </r>
  <r>
    <x v="18"/>
    <n v="0.52757616464366819"/>
    <x v="1"/>
  </r>
  <r>
    <x v="19"/>
    <n v="0.51012135033262507"/>
    <x v="1"/>
  </r>
  <r>
    <x v="20"/>
    <n v="0.46805016212703343"/>
    <x v="1"/>
  </r>
  <r>
    <x v="21"/>
    <n v="0.45664449293929926"/>
    <x v="1"/>
  </r>
  <r>
    <x v="22"/>
    <n v="0.45184242067858799"/>
    <x v="1"/>
  </r>
  <r>
    <x v="23"/>
    <n v="0.43800163615192395"/>
    <x v="1"/>
  </r>
  <r>
    <x v="24"/>
    <n v="0.42719591218427311"/>
    <x v="1"/>
  </r>
  <r>
    <x v="25"/>
    <n v="0.4190633048282556"/>
    <x v="1"/>
  </r>
  <r>
    <x v="26"/>
    <n v="0.38287300746235958"/>
    <x v="2"/>
  </r>
  <r>
    <x v="27"/>
    <n v="0.37530075055667306"/>
    <x v="2"/>
  </r>
  <r>
    <x v="28"/>
    <n v="0.36316169874464665"/>
    <x v="2"/>
  </r>
  <r>
    <x v="29"/>
    <n v="0.36238580441264867"/>
    <x v="2"/>
  </r>
  <r>
    <x v="30"/>
    <n v="0.35063750216702555"/>
    <x v="2"/>
  </r>
  <r>
    <x v="31"/>
    <n v="0.33481612119241999"/>
    <x v="2"/>
  </r>
  <r>
    <x v="32"/>
    <n v="0.28707691245933681"/>
    <x v="2"/>
  </r>
  <r>
    <x v="33"/>
    <n v="0.28311148031960109"/>
    <x v="2"/>
  </r>
  <r>
    <x v="34"/>
    <n v="0.27425369241556391"/>
    <x v="2"/>
  </r>
  <r>
    <x v="35"/>
    <n v="0.27160519961674351"/>
    <x v="2"/>
  </r>
  <r>
    <x v="36"/>
    <n v="0.27071878012900469"/>
    <x v="2"/>
  </r>
  <r>
    <x v="37"/>
    <n v="0.26809511768076166"/>
    <x v="2"/>
  </r>
  <r>
    <x v="38"/>
    <n v="0.26580666188079016"/>
    <x v="2"/>
  </r>
  <r>
    <x v="39"/>
    <n v="0.26037079451352202"/>
    <x v="2"/>
  </r>
  <r>
    <x v="40"/>
    <n v="0.2598992031773123"/>
    <x v="2"/>
  </r>
  <r>
    <x v="41"/>
    <n v="0.24753025392488304"/>
    <x v="2"/>
  </r>
  <r>
    <x v="42"/>
    <n v="0.23361127634227596"/>
    <x v="2"/>
  </r>
  <r>
    <x v="43"/>
    <n v="0.23259666349557712"/>
    <x v="2"/>
  </r>
  <r>
    <x v="44"/>
    <n v="0.23075693056454669"/>
    <x v="2"/>
  </r>
  <r>
    <x v="45"/>
    <n v="0.23056474431113277"/>
    <x v="2"/>
  </r>
  <r>
    <x v="46"/>
    <n v="0.22901293732689554"/>
    <x v="2"/>
  </r>
  <r>
    <x v="47"/>
    <n v="0.22699130174239204"/>
    <x v="2"/>
  </r>
  <r>
    <x v="48"/>
    <n v="0.22546038812397934"/>
    <x v="2"/>
  </r>
  <r>
    <x v="49"/>
    <n v="0.22060676489745137"/>
    <x v="2"/>
  </r>
  <r>
    <x v="50"/>
    <n v="0.21265818351257135"/>
    <x v="2"/>
  </r>
  <r>
    <x v="51"/>
    <n v="0.20616768546805717"/>
    <x v="2"/>
  </r>
  <r>
    <x v="52"/>
    <n v="0.19948102023770589"/>
    <x v="2"/>
  </r>
  <r>
    <x v="53"/>
    <n v="0.19932855444543368"/>
    <x v="2"/>
  </r>
  <r>
    <x v="54"/>
    <n v="0.19322149735066274"/>
    <x v="2"/>
  </r>
  <r>
    <x v="55"/>
    <n v="0.19057680218458087"/>
    <x v="2"/>
  </r>
  <r>
    <x v="56"/>
    <n v="0.18347038731541362"/>
    <x v="2"/>
  </r>
  <r>
    <x v="57"/>
    <n v="0.1833667249279205"/>
    <x v="2"/>
  </r>
  <r>
    <x v="58"/>
    <n v="0.18026807380677368"/>
    <x v="2"/>
  </r>
  <r>
    <x v="59"/>
    <n v="0.17920411549364357"/>
    <x v="2"/>
  </r>
  <r>
    <x v="60"/>
    <n v="0.17810026103216878"/>
    <x v="2"/>
  </r>
  <r>
    <x v="61"/>
    <n v="0.17092438437613469"/>
    <x v="2"/>
  </r>
  <r>
    <x v="62"/>
    <n v="0.16944569573994592"/>
    <x v="2"/>
  </r>
  <r>
    <x v="63"/>
    <n v="0.16852110350139332"/>
    <x v="2"/>
  </r>
  <r>
    <x v="64"/>
    <n v="0.15852745576529684"/>
    <x v="2"/>
  </r>
  <r>
    <x v="65"/>
    <n v="0.15460922536591101"/>
    <x v="2"/>
  </r>
  <r>
    <x v="66"/>
    <n v="0.15343250874086062"/>
    <x v="2"/>
  </r>
  <r>
    <x v="67"/>
    <n v="0.14866616264367194"/>
    <x v="3"/>
  </r>
  <r>
    <x v="68"/>
    <n v="0.14293470368027908"/>
    <x v="3"/>
  </r>
  <r>
    <x v="69"/>
    <n v="0.14081638762454665"/>
    <x v="3"/>
  </r>
  <r>
    <x v="70"/>
    <n v="0.13617068952818911"/>
    <x v="3"/>
  </r>
  <r>
    <x v="71"/>
    <n v="0.13268562642113774"/>
    <x v="3"/>
  </r>
  <r>
    <x v="72"/>
    <n v="0.13220478111441708"/>
    <x v="3"/>
  </r>
  <r>
    <x v="73"/>
    <n v="0.12898520248439255"/>
    <x v="3"/>
  </r>
  <r>
    <x v="74"/>
    <n v="0.12729623768697343"/>
    <x v="3"/>
  </r>
  <r>
    <x v="75"/>
    <n v="0.12172329440002984"/>
    <x v="3"/>
  </r>
  <r>
    <x v="76"/>
    <n v="0.12160112117408785"/>
    <x v="3"/>
  </r>
  <r>
    <x v="77"/>
    <n v="0.11704652753997521"/>
    <x v="3"/>
  </r>
  <r>
    <x v="78"/>
    <n v="0.11267240205309298"/>
    <x v="3"/>
  </r>
  <r>
    <x v="79"/>
    <n v="0.10660658251455962"/>
    <x v="3"/>
  </r>
  <r>
    <x v="80"/>
    <n v="8.5665640429787207E-2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">
  <r>
    <d v="2025-02-01T00:00:00"/>
    <s v="M25"/>
    <n v="3.5"/>
    <n v="1"/>
    <x v="0"/>
    <n v="0.80500000000000005"/>
    <n v="2.3519999999999999"/>
    <n v="17500"/>
    <n v="3.5"/>
  </r>
  <r>
    <d v="2025-02-01T00:00:00"/>
    <s v="M25"/>
    <n v="2.5"/>
    <n v="1"/>
    <x v="0"/>
    <n v="0.57499999999999996"/>
    <n v="1.68"/>
    <n v="12500"/>
    <n v="2.5"/>
  </r>
  <r>
    <d v="2025-02-02T00:00:00"/>
    <s v="M25"/>
    <n v="7.25"/>
    <n v="2"/>
    <x v="1"/>
    <n v="3.335"/>
    <n v="9.7439999999999998"/>
    <n v="36250"/>
    <n v="14.5"/>
  </r>
  <r>
    <d v="2025-02-04T00:00:00"/>
    <s v="M30"/>
    <n v="5.5"/>
    <n v="1"/>
    <x v="2"/>
    <n v="1.375"/>
    <n v="4.4880000000000004"/>
    <n v="28600"/>
    <n v="5.5"/>
  </r>
  <r>
    <d v="2025-02-04T00:00:00"/>
    <s v="M30"/>
    <n v="5"/>
    <n v="1"/>
    <x v="2"/>
    <n v="1.25"/>
    <n v="4.08"/>
    <n v="26000"/>
    <n v="5"/>
  </r>
  <r>
    <d v="2025-02-04T00:00:00"/>
    <s v="M20"/>
    <n v="7"/>
    <n v="5"/>
    <x v="3"/>
    <n v="11.2"/>
    <n v="21.98"/>
    <n v="32900"/>
    <n v="35"/>
  </r>
  <r>
    <d v="2025-02-04T00:00:00"/>
    <s v="M20"/>
    <n v="3"/>
    <n v="1"/>
    <x v="3"/>
    <n v="0.96"/>
    <n v="1.8839999999999999"/>
    <n v="14100"/>
    <n v="3"/>
  </r>
  <r>
    <d v="2025-02-05T00:00:00"/>
    <s v="M20"/>
    <n v="7"/>
    <n v="5"/>
    <x v="4"/>
    <n v="11.2"/>
    <n v="21.98"/>
    <n v="32900"/>
    <n v="35"/>
  </r>
  <r>
    <d v="2025-02-05T00:00:00"/>
    <s v="M30"/>
    <n v="3"/>
    <n v="1"/>
    <x v="4"/>
    <n v="0.75"/>
    <n v="2.448"/>
    <n v="15600"/>
    <n v="3"/>
  </r>
  <r>
    <d v="2025-02-05T00:00:00"/>
    <s v="M20"/>
    <n v="7"/>
    <n v="5"/>
    <x v="5"/>
    <n v="11.2"/>
    <n v="21.98"/>
    <n v="32900"/>
    <n v="35"/>
  </r>
  <r>
    <d v="2025-02-05T00:00:00"/>
    <s v="M15"/>
    <n v="6"/>
    <n v="1"/>
    <x v="6"/>
    <n v="1.56"/>
    <n v="4.3019999999999996"/>
    <n v="25800"/>
    <n v="6"/>
  </r>
  <r>
    <d v="2025-02-08T00:00:00"/>
    <s v="M20"/>
    <n v="7"/>
    <n v="2"/>
    <x v="7"/>
    <n v="4.4800000000000004"/>
    <n v="8.7919999999999998"/>
    <n v="32900"/>
    <n v="14"/>
  </r>
  <r>
    <d v="2025-02-08T00:00:00"/>
    <s v="M20"/>
    <n v="3"/>
    <n v="1"/>
    <x v="7"/>
    <n v="0.96"/>
    <n v="1.8839999999999999"/>
    <n v="14100"/>
    <n v="3"/>
  </r>
  <r>
    <d v="2025-02-08T00:00:00"/>
    <s v="M20"/>
    <n v="7"/>
    <n v="6"/>
    <x v="8"/>
    <n v="13.44"/>
    <n v="26.376000000000001"/>
    <n v="32900"/>
    <n v="42"/>
  </r>
  <r>
    <d v="2025-02-08T00:00:00"/>
    <s v="M20"/>
    <n v="4"/>
    <n v="1"/>
    <x v="8"/>
    <n v="1.28"/>
    <n v="2.512"/>
    <n v="18800"/>
    <n v="4"/>
  </r>
  <r>
    <d v="2025-02-08T00:00:00"/>
    <s v="M20"/>
    <n v="1"/>
    <n v="1"/>
    <x v="8"/>
    <n v="0.32"/>
    <n v="0.628"/>
    <n v="4700"/>
    <n v="1"/>
  </r>
  <r>
    <d v="2025-02-08T00:00:00"/>
    <s v="M10"/>
    <n v="7"/>
    <n v="3"/>
    <x v="9"/>
    <n v="4.41"/>
    <n v="16.233000000000001"/>
    <n v="28000"/>
    <n v="21"/>
  </r>
  <r>
    <d v="2025-02-08T00:00:00"/>
    <s v="M30"/>
    <n v="7"/>
    <n v="1"/>
    <x v="6"/>
    <n v="1.75"/>
    <n v="5.7119999999999997"/>
    <n v="36400"/>
    <n v="7"/>
  </r>
  <r>
    <d v="2025-02-09T00:00:00"/>
    <s v="M10"/>
    <n v="7"/>
    <n v="1"/>
    <x v="9"/>
    <n v="1.47"/>
    <n v="5.4109999999999996"/>
    <n v="28000"/>
    <n v="7"/>
  </r>
  <r>
    <d v="2025-02-09T00:00:00"/>
    <s v="M30"/>
    <n v="7"/>
    <n v="1"/>
    <x v="6"/>
    <n v="1.75"/>
    <n v="5.7119999999999997"/>
    <n v="36400"/>
    <n v="7"/>
  </r>
  <r>
    <d v="2025-02-09T00:00:00"/>
    <s v="M20"/>
    <n v="5"/>
    <n v="1"/>
    <x v="10"/>
    <n v="1.6"/>
    <n v="3.14"/>
    <n v="23500"/>
    <n v="5"/>
  </r>
  <r>
    <d v="2025-02-09T00:00:00"/>
    <s v="M20"/>
    <n v="4.5"/>
    <n v="1"/>
    <x v="7"/>
    <n v="1.44"/>
    <n v="2.8260000000000001"/>
    <n v="21150"/>
    <n v="4.5"/>
  </r>
  <r>
    <d v="2025-02-09T00:00:00"/>
    <s v="M20"/>
    <n v="7"/>
    <n v="5"/>
    <x v="11"/>
    <n v="11.2"/>
    <n v="21.98"/>
    <n v="32900"/>
    <n v="35"/>
  </r>
  <r>
    <d v="2025-02-09T00:00:00"/>
    <s v="M20"/>
    <n v="2"/>
    <n v="1"/>
    <x v="11"/>
    <n v="0.64"/>
    <n v="1.256"/>
    <n v="9400"/>
    <n v="2"/>
  </r>
  <r>
    <d v="2025-02-09T00:00:00"/>
    <s v="M20"/>
    <n v="6.5"/>
    <n v="2"/>
    <x v="12"/>
    <n v="4.16"/>
    <n v="8.1639999999999997"/>
    <n v="30550"/>
    <n v="13"/>
  </r>
  <r>
    <d v="2025-02-09T00:00:00"/>
    <s v="M30"/>
    <n v="7"/>
    <n v="1"/>
    <x v="6"/>
    <n v="1.75"/>
    <n v="5.7119999999999997"/>
    <n v="36400"/>
    <n v="7"/>
  </r>
  <r>
    <d v="2025-02-10T00:00:00"/>
    <s v="M25"/>
    <n v="6"/>
    <n v="1"/>
    <x v="13"/>
    <n v="1.38"/>
    <n v="4.032"/>
    <n v="30000"/>
    <n v="6"/>
  </r>
  <r>
    <d v="2025-02-10T00:00:00"/>
    <s v="M25"/>
    <n v="3"/>
    <n v="1"/>
    <x v="13"/>
    <n v="0.69"/>
    <n v="2.016"/>
    <n v="15000"/>
    <n v="3"/>
  </r>
  <r>
    <d v="2025-02-10T00:00:00"/>
    <s v="M20"/>
    <n v="7"/>
    <n v="4"/>
    <x v="3"/>
    <n v="8.9600000000000009"/>
    <n v="17.584"/>
    <n v="32900"/>
    <n v="28"/>
  </r>
  <r>
    <d v="2025-02-11T00:00:00"/>
    <s v="M20"/>
    <n v="7"/>
    <n v="1"/>
    <x v="3"/>
    <n v="2.2400000000000002"/>
    <n v="4.3959999999999999"/>
    <n v="32900"/>
    <n v="7"/>
  </r>
  <r>
    <d v="2025-02-11T00:00:00"/>
    <s v="M30"/>
    <n v="7"/>
    <n v="4"/>
    <x v="9"/>
    <n v="7"/>
    <n v="22.847999999999999"/>
    <n v="36400"/>
    <n v="28"/>
  </r>
  <r>
    <d v="2025-02-12T00:00:00"/>
    <s v="M30"/>
    <n v="7"/>
    <n v="10"/>
    <x v="9"/>
    <n v="17.5"/>
    <n v="57.12"/>
    <n v="36400"/>
    <n v="70"/>
  </r>
  <r>
    <d v="2025-02-12T00:00:00"/>
    <s v="M30"/>
    <n v="7"/>
    <n v="3"/>
    <x v="6"/>
    <n v="5.25"/>
    <n v="17.135999999999999"/>
    <n v="36400"/>
    <n v="21"/>
  </r>
  <r>
    <d v="2025-02-13T00:00:00"/>
    <s v="M30"/>
    <n v="7"/>
    <n v="5"/>
    <x v="9"/>
    <n v="8.75"/>
    <n v="28.56"/>
    <n v="36400"/>
    <n v="35"/>
  </r>
  <r>
    <d v="2025-02-13T00:00:00"/>
    <s v="M30"/>
    <n v="7"/>
    <n v="1"/>
    <x v="6"/>
    <n v="1.75"/>
    <n v="5.7119999999999997"/>
    <n v="36400"/>
    <n v="7"/>
  </r>
  <r>
    <d v="2025-02-13T00:00:00"/>
    <s v="M30"/>
    <n v="5"/>
    <n v="1"/>
    <x v="9"/>
    <n v="1.25"/>
    <n v="4.08"/>
    <n v="26000"/>
    <n v="5"/>
  </r>
  <r>
    <d v="2025-02-13T00:00:00"/>
    <s v="M30"/>
    <n v="5.5"/>
    <n v="1"/>
    <x v="9"/>
    <n v="1.375"/>
    <n v="4.4880000000000004"/>
    <n v="28600"/>
    <n v="5.5"/>
  </r>
  <r>
    <d v="2025-02-14T00:00:00"/>
    <s v="M15"/>
    <n v="7"/>
    <n v="2"/>
    <x v="14"/>
    <n v="3.64"/>
    <n v="10.038"/>
    <n v="30100"/>
    <n v="14"/>
  </r>
  <r>
    <d v="2025-02-14T00:00:00"/>
    <s v="M30"/>
    <n v="7"/>
    <n v="15"/>
    <x v="15"/>
    <n v="26.25"/>
    <n v="85.68"/>
    <n v="36400"/>
    <n v="105"/>
  </r>
  <r>
    <d v="2025-02-14T00:00:00"/>
    <s v="M30"/>
    <n v="7"/>
    <n v="2"/>
    <x v="16"/>
    <n v="3.5"/>
    <n v="11.423999999999999"/>
    <n v="36400"/>
    <n v="14"/>
  </r>
  <r>
    <d v="2025-02-14T00:00:00"/>
    <s v="M30"/>
    <n v="7"/>
    <n v="1"/>
    <x v="6"/>
    <n v="1.75"/>
    <n v="5.7119999999999997"/>
    <n v="36400"/>
    <n v="7"/>
  </r>
  <r>
    <d v="2025-02-14T00:00:00"/>
    <s v="M15"/>
    <n v="3.5"/>
    <n v="1"/>
    <x v="14"/>
    <n v="0.91"/>
    <n v="2.5095000000000001"/>
    <n v="15050"/>
    <n v="3.5"/>
  </r>
  <r>
    <d v="2025-02-15T00:00:00"/>
    <s v="M25"/>
    <n v="7.5"/>
    <n v="1"/>
    <x v="17"/>
    <n v="1.7250000000000001"/>
    <n v="5.04"/>
    <n v="37500"/>
    <n v="7.5"/>
  </r>
  <r>
    <d v="2025-02-15T00:00:00"/>
    <s v="M30"/>
    <n v="7"/>
    <n v="1"/>
    <x v="6"/>
    <n v="1.75"/>
    <n v="5.7119999999999997"/>
    <n v="36400"/>
    <n v="7"/>
  </r>
  <r>
    <d v="2025-02-16T00:00:00"/>
    <s v="M25"/>
    <n v="8.5"/>
    <n v="1"/>
    <x v="18"/>
    <n v="1.9550000000000001"/>
    <n v="5.7119999999999997"/>
    <n v="42500"/>
    <n v="8.5"/>
  </r>
  <r>
    <d v="2025-02-17T00:00:00"/>
    <s v="M25"/>
    <n v="5"/>
    <n v="1"/>
    <x v="17"/>
    <n v="1.1499999999999999"/>
    <n v="3.36"/>
    <n v="25000"/>
    <n v="5"/>
  </r>
  <r>
    <d v="2025-02-17T00:00:00"/>
    <s v="M25"/>
    <n v="7"/>
    <n v="5"/>
    <x v="19"/>
    <n v="8.0500000000000007"/>
    <n v="23.52"/>
    <n v="35000"/>
    <n v="35"/>
  </r>
  <r>
    <d v="2025-02-18T00:00:00"/>
    <s v="M25"/>
    <n v="7"/>
    <n v="2"/>
    <x v="19"/>
    <n v="3.22"/>
    <n v="9.4079999999999995"/>
    <n v="35000"/>
    <n v="14"/>
  </r>
  <r>
    <d v="2025-02-18T00:00:00"/>
    <s v="M20"/>
    <n v="7"/>
    <n v="3"/>
    <x v="3"/>
    <n v="6.72"/>
    <n v="13.188000000000001"/>
    <n v="32900"/>
    <n v="21"/>
  </r>
  <r>
    <d v="2025-02-19T00:00:00"/>
    <s v="M25"/>
    <n v="7"/>
    <n v="4"/>
    <x v="20"/>
    <n v="6.44"/>
    <n v="18.815999999999999"/>
    <n v="35000"/>
    <n v="28"/>
  </r>
  <r>
    <d v="2025-02-19T00:00:00"/>
    <s v="M20"/>
    <n v="7"/>
    <n v="4"/>
    <x v="21"/>
    <n v="8.9600000000000009"/>
    <n v="17.584"/>
    <n v="32900"/>
    <n v="28"/>
  </r>
  <r>
    <d v="2025-02-20T00:00:00"/>
    <s v="M20"/>
    <n v="7"/>
    <n v="4"/>
    <x v="21"/>
    <n v="8.9600000000000009"/>
    <n v="17.584"/>
    <n v="32900"/>
    <n v="28"/>
  </r>
  <r>
    <d v="2025-02-20T00:00:00"/>
    <s v="M30"/>
    <n v="7"/>
    <n v="1"/>
    <x v="6"/>
    <n v="1.75"/>
    <n v="5.7119999999999997"/>
    <n v="36400"/>
    <n v="7"/>
  </r>
  <r>
    <d v="2025-02-21T00:00:00"/>
    <s v="M30"/>
    <n v="6"/>
    <n v="1"/>
    <x v="6"/>
    <n v="1.5"/>
    <n v="4.8959999999999999"/>
    <n v="31200"/>
    <n v="6"/>
  </r>
  <r>
    <d v="2025-02-21T00:00:00"/>
    <s v="M20"/>
    <n v="6"/>
    <n v="7"/>
    <x v="22"/>
    <n v="13.44"/>
    <n v="26.376000000000001"/>
    <n v="28200"/>
    <n v="42"/>
  </r>
  <r>
    <d v="2025-02-21T00:00:00"/>
    <s v="M20"/>
    <n v="3"/>
    <n v="1"/>
    <x v="22"/>
    <n v="0.96"/>
    <n v="1.8839999999999999"/>
    <n v="14100"/>
    <n v="3"/>
  </r>
  <r>
    <d v="2025-02-21T00:00:00"/>
    <s v="M10"/>
    <n v="7"/>
    <n v="3"/>
    <x v="23"/>
    <n v="4.41"/>
    <n v="16.233000000000001"/>
    <n v="28000"/>
    <n v="21"/>
  </r>
  <r>
    <d v="2025-02-21T00:00:00"/>
    <s v="M10"/>
    <n v="2.5"/>
    <n v="1"/>
    <x v="23"/>
    <n v="0.52500000000000002"/>
    <n v="1.9325000000000001"/>
    <n v="10000"/>
    <n v="2.5"/>
  </r>
  <r>
    <d v="2025-02-22T00:00:00"/>
    <s v="M30"/>
    <n v="6"/>
    <n v="1"/>
    <x v="6"/>
    <n v="1.5"/>
    <n v="4.8959999999999999"/>
    <n v="31200"/>
    <n v="6"/>
  </r>
  <r>
    <d v="2025-02-22T00:00:00"/>
    <s v="M20"/>
    <n v="7"/>
    <n v="1"/>
    <x v="7"/>
    <n v="2.2400000000000002"/>
    <n v="4.3959999999999999"/>
    <n v="32900"/>
    <n v="7"/>
  </r>
  <r>
    <d v="2025-02-22T00:00:00"/>
    <s v="M20"/>
    <n v="4"/>
    <n v="1"/>
    <x v="7"/>
    <n v="1.28"/>
    <n v="2.512"/>
    <n v="18800"/>
    <n v="4"/>
  </r>
  <r>
    <d v="2025-02-22T00:00:00"/>
    <s v="M30"/>
    <n v="7"/>
    <n v="1"/>
    <x v="6"/>
    <n v="1.75"/>
    <n v="5.7119999999999997"/>
    <n v="36400"/>
    <n v="7"/>
  </r>
  <r>
    <d v="2025-02-22T00:00:00"/>
    <s v="M20"/>
    <n v="6"/>
    <n v="2"/>
    <x v="24"/>
    <n v="3.84"/>
    <n v="7.5359999999999996"/>
    <n v="28200"/>
    <n v="12"/>
  </r>
  <r>
    <d v="2025-02-23T00:00:00"/>
    <s v="M30"/>
    <n v="5"/>
    <n v="1"/>
    <x v="6"/>
    <n v="1.25"/>
    <n v="4.08"/>
    <n v="26000"/>
    <n v="5"/>
  </r>
  <r>
    <d v="2025-02-23T00:00:00"/>
    <s v="M25"/>
    <n v="6"/>
    <n v="1"/>
    <x v="23"/>
    <n v="1.38"/>
    <n v="4.032"/>
    <n v="30000"/>
    <n v="6"/>
  </r>
  <r>
    <d v="2025-02-23T00:00:00"/>
    <s v="M25"/>
    <n v="2"/>
    <n v="1"/>
    <x v="23"/>
    <n v="0.46"/>
    <n v="1.3440000000000001"/>
    <n v="10000"/>
    <n v="2"/>
  </r>
  <r>
    <d v="2025-02-24T00:00:00"/>
    <s v="M20"/>
    <n v="6"/>
    <n v="2"/>
    <x v="25"/>
    <n v="3.84"/>
    <n v="7.5359999999999996"/>
    <n v="28200"/>
    <n v="12"/>
  </r>
  <r>
    <d v="2025-02-24T00:00:00"/>
    <s v="M25"/>
    <n v="4"/>
    <n v="1"/>
    <x v="25"/>
    <n v="0.92"/>
    <n v="2.6880000000000002"/>
    <n v="20000"/>
    <n v="4"/>
  </r>
  <r>
    <d v="2025-02-24T00:00:00"/>
    <s v="M30"/>
    <n v="7"/>
    <n v="1"/>
    <x v="6"/>
    <n v="1.75"/>
    <n v="5.7119999999999997"/>
    <n v="36400"/>
    <n v="7"/>
  </r>
  <r>
    <d v="2025-02-25T00:00:00"/>
    <s v="M25"/>
    <n v="4.5"/>
    <n v="1"/>
    <x v="26"/>
    <n v="1.0349999999999999"/>
    <n v="3.024"/>
    <n v="22500"/>
    <n v="4.5"/>
  </r>
  <r>
    <d v="2025-02-25T00:00:00"/>
    <s v="M25"/>
    <n v="3.5"/>
    <n v="1"/>
    <x v="23"/>
    <n v="0.80500000000000005"/>
    <n v="2.3519999999999999"/>
    <n v="17500"/>
    <n v="3.5"/>
  </r>
  <r>
    <d v="2025-02-25T00:00:00"/>
    <s v="M10"/>
    <n v="7"/>
    <n v="1"/>
    <x v="27"/>
    <n v="1.47"/>
    <n v="5.4109999999999996"/>
    <n v="28000"/>
    <n v="7"/>
  </r>
  <r>
    <d v="2025-02-25T00:00:00"/>
    <s v="M10"/>
    <n v="3"/>
    <n v="1"/>
    <x v="27"/>
    <n v="0.63"/>
    <n v="2.319"/>
    <n v="12000"/>
    <n v="3"/>
  </r>
  <r>
    <d v="2025-02-26T00:00:00"/>
    <s v="M25"/>
    <n v="2.5"/>
    <n v="1"/>
    <x v="23"/>
    <n v="0.57499999999999996"/>
    <n v="1.68"/>
    <n v="12500"/>
    <n v="2.5"/>
  </r>
  <r>
    <d v="2025-02-26T00:00:00"/>
    <s v="M20"/>
    <n v="6"/>
    <n v="1"/>
    <x v="24"/>
    <n v="1.92"/>
    <n v="3.7679999999999998"/>
    <n v="28200"/>
    <n v="6"/>
  </r>
  <r>
    <d v="2025-02-26T00:00:00"/>
    <s v="M15"/>
    <n v="7"/>
    <n v="5"/>
    <x v="18"/>
    <n v="9.1"/>
    <n v="25.094999999999999"/>
    <n v="30100"/>
    <n v="35"/>
  </r>
  <r>
    <d v="2025-02-26T00:00:00"/>
    <s v="M15"/>
    <n v="6"/>
    <n v="1"/>
    <x v="18"/>
    <n v="1.56"/>
    <n v="4.3019999999999996"/>
    <n v="25800"/>
    <n v="6"/>
  </r>
  <r>
    <d v="2025-02-26T00:00:00"/>
    <s v="M20"/>
    <n v="4"/>
    <n v="1"/>
    <x v="7"/>
    <n v="1.28"/>
    <n v="2.512"/>
    <n v="18800"/>
    <n v="4"/>
  </r>
  <r>
    <d v="2025-02-27T00:00:00"/>
    <s v="M15"/>
    <n v="7"/>
    <n v="5"/>
    <x v="18"/>
    <n v="9.1"/>
    <n v="25.094999999999999"/>
    <n v="30100"/>
    <n v="35"/>
  </r>
  <r>
    <d v="2025-02-27T00:00:00"/>
    <s v="M15"/>
    <n v="6"/>
    <n v="1"/>
    <x v="18"/>
    <n v="1.56"/>
    <n v="4.3019999999999996"/>
    <n v="25800"/>
    <n v="6"/>
  </r>
  <r>
    <d v="2025-02-28T00:00:00"/>
    <s v="M15"/>
    <n v="7"/>
    <n v="6"/>
    <x v="18"/>
    <n v="10.92"/>
    <n v="30.114000000000001"/>
    <n v="30100"/>
    <n v="42"/>
  </r>
  <r>
    <d v="2025-02-28T00:00:00"/>
    <s v="M15"/>
    <n v="7"/>
    <n v="1"/>
    <x v="6"/>
    <n v="1.82"/>
    <n v="5.0190000000000001"/>
    <n v="30100"/>
    <n v="7"/>
  </r>
  <r>
    <d v="2025-03-01T00:00:00"/>
    <s v="M15"/>
    <n v="7"/>
    <n v="8"/>
    <x v="18"/>
    <n v="14.56"/>
    <n v="40.152000000000001"/>
    <n v="30100"/>
    <n v="56"/>
  </r>
  <r>
    <d v="2025-03-01T00:00:00"/>
    <s v="M30"/>
    <n v="7"/>
    <n v="2"/>
    <x v="6"/>
    <n v="3.5"/>
    <n v="11.423999999999999"/>
    <n v="36400"/>
    <n v="14"/>
  </r>
  <r>
    <d v="2025-03-02T00:00:00"/>
    <s v="M15"/>
    <n v="7"/>
    <n v="5"/>
    <x v="18"/>
    <n v="9.1"/>
    <n v="25.094999999999999"/>
    <n v="30100"/>
    <n v="35"/>
  </r>
  <r>
    <d v="2025-03-03T00:00:00"/>
    <s v="M20"/>
    <n v="7"/>
    <n v="3"/>
    <x v="28"/>
    <n v="6.72"/>
    <n v="13.188000000000001"/>
    <n v="32900"/>
    <n v="21"/>
  </r>
  <r>
    <d v="2025-03-04T00:00:00"/>
    <s v="M20"/>
    <n v="6"/>
    <n v="3"/>
    <x v="3"/>
    <n v="5.76"/>
    <n v="11.304"/>
    <n v="28200"/>
    <n v="18"/>
  </r>
  <r>
    <d v="2025-03-04T00:00:00"/>
    <s v="M30"/>
    <n v="7"/>
    <n v="4"/>
    <x v="6"/>
    <n v="7"/>
    <n v="22.847999999999999"/>
    <n v="36400"/>
    <n v="28"/>
  </r>
  <r>
    <d v="2025-03-06T00:00:00"/>
    <s v="M20"/>
    <n v="7"/>
    <n v="1"/>
    <x v="29"/>
    <n v="2.2400000000000002"/>
    <n v="4.3959999999999999"/>
    <n v="32900"/>
    <n v="7"/>
  </r>
  <r>
    <d v="2025-03-06T00:00:00"/>
    <s v="M30"/>
    <n v="7"/>
    <n v="5"/>
    <x v="30"/>
    <n v="8.75"/>
    <n v="28.56"/>
    <n v="36400"/>
    <n v="35"/>
  </r>
  <r>
    <d v="2025-03-07T00:00:00"/>
    <s v="M30"/>
    <n v="7"/>
    <n v="3"/>
    <x v="30"/>
    <n v="5.25"/>
    <n v="17.135999999999999"/>
    <n v="36400"/>
    <n v="21"/>
  </r>
  <r>
    <d v="2025-03-07T00:00:00"/>
    <s v="M25"/>
    <n v="8.5"/>
    <n v="1"/>
    <x v="18"/>
    <n v="1.9550000000000001"/>
    <n v="5.7119999999999997"/>
    <n v="42500"/>
    <n v="8.5"/>
  </r>
  <r>
    <d v="2025-03-07T00:00:00"/>
    <s v="M20"/>
    <n v="6.5"/>
    <n v="5"/>
    <x v="31"/>
    <n v="10.4"/>
    <n v="20.41"/>
    <n v="30550"/>
    <n v="32.5"/>
  </r>
  <r>
    <d v="2025-03-08T00:00:00"/>
    <s v="M20"/>
    <n v="6"/>
    <n v="1"/>
    <x v="31"/>
    <n v="1.92"/>
    <n v="3.7679999999999998"/>
    <n v="28200"/>
    <n v="6"/>
  </r>
  <r>
    <d v="2025-03-08T00:00:00"/>
    <s v="M20"/>
    <n v="6.5"/>
    <n v="1"/>
    <x v="31"/>
    <n v="2.08"/>
    <n v="4.0819999999999999"/>
    <n v="30550"/>
    <n v="6.5"/>
  </r>
  <r>
    <d v="2025-03-08T00:00:00"/>
    <s v="M20"/>
    <n v="7"/>
    <n v="3"/>
    <x v="7"/>
    <n v="6.72"/>
    <n v="13.188000000000001"/>
    <n v="32900"/>
    <n v="21"/>
  </r>
  <r>
    <d v="2025-03-08T00:00:00"/>
    <s v="M10"/>
    <n v="3"/>
    <n v="1"/>
    <x v="27"/>
    <n v="0.63"/>
    <n v="2.319"/>
    <n v="12000"/>
    <n v="3"/>
  </r>
  <r>
    <d v="2025-03-08T00:00:00"/>
    <s v="M30"/>
    <n v="7"/>
    <n v="1"/>
    <x v="6"/>
    <n v="1.75"/>
    <n v="5.7119999999999997"/>
    <n v="36400"/>
    <n v="7"/>
  </r>
  <r>
    <d v="2025-03-08T00:00:00"/>
    <s v="M15"/>
    <n v="7"/>
    <n v="1"/>
    <x v="18"/>
    <n v="1.82"/>
    <n v="5.0190000000000001"/>
    <n v="30100"/>
    <n v="7"/>
  </r>
  <r>
    <d v="2025-03-09T00:00:00"/>
    <s v="M25"/>
    <n v="6.5"/>
    <n v="3"/>
    <x v="32"/>
    <n v="4.4850000000000003"/>
    <n v="13.103999999999999"/>
    <n v="32500"/>
    <n v="19.5"/>
  </r>
  <r>
    <d v="2025-03-09T00:00:00"/>
    <s v="M25"/>
    <n v="6.25"/>
    <n v="2"/>
    <x v="32"/>
    <n v="2.875"/>
    <n v="8.4"/>
    <n v="31250"/>
    <n v="12.5"/>
  </r>
  <r>
    <d v="2025-03-09T00:00:00"/>
    <s v="M25"/>
    <n v="3"/>
    <n v="1"/>
    <x v="32"/>
    <n v="0.69"/>
    <n v="2.016"/>
    <n v="15000"/>
    <n v="3"/>
  </r>
  <r>
    <d v="2025-03-10T00:00:00"/>
    <s v="M20"/>
    <n v="4"/>
    <n v="1"/>
    <x v="32"/>
    <n v="1.28"/>
    <n v="2.512"/>
    <n v="18800"/>
    <n v="4"/>
  </r>
  <r>
    <d v="2025-03-11T00:00:00"/>
    <s v="M30"/>
    <n v="7"/>
    <n v="1"/>
    <x v="6"/>
    <n v="1.75"/>
    <n v="5.7119999999999997"/>
    <n v="36400"/>
    <n v="7"/>
  </r>
  <r>
    <d v="2025-03-11T00:00:00"/>
    <s v="M25"/>
    <n v="8"/>
    <n v="2"/>
    <x v="12"/>
    <n v="3.68"/>
    <n v="10.752000000000001"/>
    <n v="40000"/>
    <n v="16"/>
  </r>
  <r>
    <d v="2025-03-13T00:00:00"/>
    <s v="M30"/>
    <n v="5"/>
    <n v="1"/>
    <x v="6"/>
    <n v="1.25"/>
    <n v="4.08"/>
    <n v="26000"/>
    <n v="5"/>
  </r>
  <r>
    <d v="2025-03-14T00:00:00"/>
    <s v="M25"/>
    <n v="3.5"/>
    <n v="1"/>
    <x v="33"/>
    <n v="0.80500000000000005"/>
    <n v="2.3519999999999999"/>
    <n v="17500"/>
    <n v="3.5"/>
  </r>
  <r>
    <d v="2025-03-14T00:00:00"/>
    <s v="M25"/>
    <n v="6.5"/>
    <n v="8"/>
    <x v="33"/>
    <n v="11.96"/>
    <n v="34.944000000000003"/>
    <n v="32500"/>
    <n v="52"/>
  </r>
  <r>
    <d v="2025-03-16T00:00:00"/>
    <s v="M25"/>
    <n v="7"/>
    <n v="5"/>
    <x v="34"/>
    <n v="8.0500000000000007"/>
    <n v="23.52"/>
    <n v="35000"/>
    <n v="35"/>
  </r>
  <r>
    <d v="2025-03-16T00:00:00"/>
    <s v="M25"/>
    <n v="3"/>
    <n v="1"/>
    <x v="34"/>
    <n v="0.69"/>
    <n v="2.016"/>
    <n v="15000"/>
    <n v="3"/>
  </r>
  <r>
    <d v="2025-03-16T00:00:00"/>
    <s v="M25"/>
    <n v="4"/>
    <n v="1"/>
    <x v="34"/>
    <n v="0.92"/>
    <n v="2.6880000000000002"/>
    <n v="20000"/>
    <n v="4"/>
  </r>
  <r>
    <d v="2025-03-16T00:00:00"/>
    <s v="M10"/>
    <n v="7"/>
    <n v="2"/>
    <x v="23"/>
    <n v="2.94"/>
    <n v="10.821999999999999"/>
    <n v="28000"/>
    <n v="14"/>
  </r>
  <r>
    <d v="2025-03-16T00:00:00"/>
    <s v="M30"/>
    <n v="7"/>
    <n v="1"/>
    <x v="6"/>
    <n v="1.75"/>
    <n v="5.7119999999999997"/>
    <n v="36400"/>
    <n v="7"/>
  </r>
  <r>
    <d v="2025-03-16T00:00:00"/>
    <s v="M25"/>
    <n v="7"/>
    <n v="1"/>
    <x v="25"/>
    <n v="1.61"/>
    <n v="4.7039999999999997"/>
    <n v="35000"/>
    <n v="7"/>
  </r>
  <r>
    <d v="2025-03-16T00:00:00"/>
    <s v="M25"/>
    <n v="5"/>
    <n v="1"/>
    <x v="25"/>
    <n v="1.1499999999999999"/>
    <n v="3.36"/>
    <n v="25000"/>
    <n v="5"/>
  </r>
  <r>
    <d v="2025-03-17T00:00:00"/>
    <s v="M25"/>
    <n v="7"/>
    <n v="1"/>
    <x v="35"/>
    <n v="1.61"/>
    <n v="4.7039999999999997"/>
    <n v="35000"/>
    <n v="7"/>
  </r>
  <r>
    <d v="2025-03-17T00:00:00"/>
    <s v="M25"/>
    <n v="6"/>
    <n v="1"/>
    <x v="35"/>
    <n v="1.38"/>
    <n v="4.032"/>
    <n v="30000"/>
    <n v="6"/>
  </r>
  <r>
    <d v="2025-03-17T00:00:00"/>
    <s v="M25"/>
    <n v="5.5"/>
    <n v="1"/>
    <x v="35"/>
    <n v="1.2649999999999999"/>
    <n v="3.6960000000000002"/>
    <n v="27500"/>
    <n v="5.5"/>
  </r>
  <r>
    <d v="2025-03-18T00:00:00"/>
    <s v="M20"/>
    <n v="7"/>
    <n v="2"/>
    <x v="36"/>
    <n v="4.4800000000000004"/>
    <n v="8.7919999999999998"/>
    <n v="32900"/>
    <n v="14"/>
  </r>
  <r>
    <d v="2025-03-18T00:00:00"/>
    <s v="M20"/>
    <n v="5"/>
    <n v="1"/>
    <x v="36"/>
    <n v="1.6"/>
    <n v="3.14"/>
    <n v="23500"/>
    <n v="5"/>
  </r>
  <r>
    <d v="2025-03-18T00:00:00"/>
    <s v="M10"/>
    <n v="4"/>
    <n v="1"/>
    <x v="23"/>
    <n v="0.84"/>
    <n v="3.0920000000000001"/>
    <n v="16000"/>
    <n v="4"/>
  </r>
  <r>
    <d v="2025-03-19T00:00:00"/>
    <s v="M20"/>
    <n v="6.5"/>
    <n v="2"/>
    <x v="24"/>
    <n v="4.16"/>
    <n v="8.1639999999999997"/>
    <n v="30550"/>
    <n v="13"/>
  </r>
  <r>
    <d v="2025-03-20T00:00:00"/>
    <s v="M25"/>
    <n v="7"/>
    <n v="1"/>
    <x v="37"/>
    <n v="1.61"/>
    <n v="4.7039999999999997"/>
    <n v="35000"/>
    <n v="7"/>
  </r>
  <r>
    <d v="2025-03-20T00:00:00"/>
    <s v="M25"/>
    <n v="6"/>
    <n v="2"/>
    <x v="38"/>
    <n v="2.76"/>
    <n v="8.0640000000000001"/>
    <n v="30000"/>
    <n v="12"/>
  </r>
  <r>
    <d v="2025-03-22T00:00:00"/>
    <s v="M20"/>
    <n v="7"/>
    <n v="1"/>
    <x v="26"/>
    <n v="2.2400000000000002"/>
    <n v="4.3959999999999999"/>
    <n v="32900"/>
    <n v="7"/>
  </r>
  <r>
    <d v="2025-03-22T00:00:00"/>
    <s v="M15"/>
    <n v="6.5"/>
    <n v="2"/>
    <x v="39"/>
    <n v="3.38"/>
    <n v="9.3209999999999997"/>
    <n v="27950"/>
    <n v="13"/>
  </r>
  <r>
    <d v="2025-03-22T00:00:00"/>
    <s v="M15"/>
    <n v="4.5"/>
    <n v="1"/>
    <x v="39"/>
    <n v="1.17"/>
    <n v="3.2265000000000001"/>
    <n v="19350"/>
    <n v="4.5"/>
  </r>
  <r>
    <d v="2025-03-22T00:00:00"/>
    <s v="M15"/>
    <n v="4"/>
    <n v="1"/>
    <x v="39"/>
    <n v="1.04"/>
    <n v="2.8679999999999999"/>
    <n v="17200"/>
    <n v="4"/>
  </r>
  <r>
    <d v="2025-03-22T00:00:00"/>
    <s v="M15"/>
    <n v="7"/>
    <n v="3"/>
    <x v="6"/>
    <n v="5.46"/>
    <n v="15.057"/>
    <n v="30100"/>
    <n v="21"/>
  </r>
  <r>
    <d v="2025-03-23T00:00:00"/>
    <s v="M15"/>
    <n v="7"/>
    <n v="4"/>
    <x v="6"/>
    <n v="7.28"/>
    <n v="20.076000000000001"/>
    <n v="30100"/>
    <n v="28"/>
  </r>
  <r>
    <d v="2025-03-23T00:00:00"/>
    <s v="M20"/>
    <n v="6"/>
    <n v="1"/>
    <x v="40"/>
    <n v="1.92"/>
    <n v="3.7679999999999998"/>
    <n v="28200"/>
    <n v="6"/>
  </r>
  <r>
    <d v="2025-03-23T00:00:00"/>
    <s v="M20"/>
    <n v="5"/>
    <n v="2"/>
    <x v="40"/>
    <n v="3.2"/>
    <n v="6.28"/>
    <n v="23500"/>
    <n v="10"/>
  </r>
  <r>
    <d v="2025-03-24T00:00:00"/>
    <s v="M25"/>
    <n v="7"/>
    <n v="11"/>
    <x v="24"/>
    <n v="17.71"/>
    <n v="51.744"/>
    <n v="35000"/>
    <n v="77"/>
  </r>
  <r>
    <d v="2025-03-25T00:00:00"/>
    <s v="M20"/>
    <n v="7"/>
    <n v="3"/>
    <x v="41"/>
    <n v="6.72"/>
    <n v="13.188000000000001"/>
    <n v="32900"/>
    <n v="21"/>
  </r>
  <r>
    <d v="2025-03-25T00:00:00"/>
    <s v="M20"/>
    <n v="2.5"/>
    <n v="1"/>
    <x v="41"/>
    <n v="0.8"/>
    <n v="1.57"/>
    <n v="11750"/>
    <n v="2.5"/>
  </r>
  <r>
    <d v="2025-03-25T00:00:00"/>
    <s v="M20"/>
    <n v="2.5"/>
    <n v="1"/>
    <x v="26"/>
    <n v="0.8"/>
    <n v="1.57"/>
    <n v="11750"/>
    <n v="2.5"/>
  </r>
  <r>
    <d v="2025-03-25T00:00:00"/>
    <s v="M25"/>
    <n v="7"/>
    <n v="5"/>
    <x v="30"/>
    <n v="8.0500000000000007"/>
    <n v="23.52"/>
    <n v="35000"/>
    <n v="35"/>
  </r>
  <r>
    <d v="2025-03-26T00:00:00"/>
    <s v="M25"/>
    <n v="7"/>
    <n v="2"/>
    <x v="30"/>
    <n v="3.22"/>
    <n v="9.4079999999999995"/>
    <n v="35000"/>
    <n v="14"/>
  </r>
  <r>
    <d v="2025-03-26T00:00:00"/>
    <s v="M30"/>
    <n v="6"/>
    <n v="5"/>
    <x v="6"/>
    <n v="7.5"/>
    <n v="24.48"/>
    <n v="31200"/>
    <n v="30"/>
  </r>
  <r>
    <d v="2025-03-26T00:00:00"/>
    <s v="M30"/>
    <n v="8.5"/>
    <n v="1"/>
    <x v="18"/>
    <n v="2.125"/>
    <n v="6.9359999999999999"/>
    <n v="44200"/>
    <n v="8.5"/>
  </r>
  <r>
    <d v="2025-03-27T00:00:00"/>
    <s v="M30"/>
    <n v="6"/>
    <n v="8"/>
    <x v="6"/>
    <n v="12"/>
    <n v="39.167999999999999"/>
    <n v="31200"/>
    <n v="48"/>
  </r>
  <r>
    <d v="2025-03-27T00:00:00"/>
    <s v="M30"/>
    <n v="5"/>
    <n v="1"/>
    <x v="6"/>
    <n v="1.25"/>
    <n v="4.08"/>
    <n v="26000"/>
    <n v="5"/>
  </r>
  <r>
    <d v="2025-03-27T00:00:00"/>
    <s v="M30"/>
    <n v="2"/>
    <n v="1"/>
    <x v="6"/>
    <n v="0.5"/>
    <n v="1.6319999999999999"/>
    <n v="10400"/>
    <n v="2"/>
  </r>
  <r>
    <d v="2025-03-28T00:00:00"/>
    <s v="M20"/>
    <n v="4.5"/>
    <n v="1"/>
    <x v="42"/>
    <n v="1.44"/>
    <n v="2.8260000000000001"/>
    <n v="21150"/>
    <n v="4.5"/>
  </r>
  <r>
    <d v="2025-03-28T00:00:00"/>
    <s v="M20"/>
    <n v="4"/>
    <n v="1"/>
    <x v="42"/>
    <n v="1.28"/>
    <n v="2.512"/>
    <n v="18800"/>
    <n v="4"/>
  </r>
  <r>
    <d v="2025-03-28T00:00:00"/>
    <s v="M10"/>
    <n v="6"/>
    <n v="7"/>
    <x v="43"/>
    <n v="8.82"/>
    <n v="32.466000000000001"/>
    <n v="24000"/>
    <n v="42"/>
  </r>
  <r>
    <d v="2025-03-28T00:00:00"/>
    <s v="M10"/>
    <n v="6"/>
    <n v="4"/>
    <x v="44"/>
    <n v="5.04"/>
    <n v="18.552"/>
    <n v="24000"/>
    <n v="24"/>
  </r>
  <r>
    <d v="2025-03-28T00:00:00"/>
    <s v="M20"/>
    <n v="7"/>
    <n v="3"/>
    <x v="7"/>
    <n v="6.72"/>
    <n v="13.188000000000001"/>
    <n v="32900"/>
    <n v="21"/>
  </r>
  <r>
    <d v="2025-03-28T00:00:00"/>
    <s v="M20"/>
    <n v="6"/>
    <n v="1"/>
    <x v="7"/>
    <n v="1.92"/>
    <n v="3.7679999999999998"/>
    <n v="28200"/>
    <n v="6"/>
  </r>
  <r>
    <d v="2025-03-28T00:00:00"/>
    <s v="M20"/>
    <n v="3"/>
    <n v="1"/>
    <x v="7"/>
    <n v="0.96"/>
    <n v="1.8839999999999999"/>
    <n v="14100"/>
    <n v="3"/>
  </r>
  <r>
    <d v="2025-03-28T00:00:00"/>
    <s v="M20"/>
    <n v="7"/>
    <n v="1"/>
    <x v="24"/>
    <n v="2.2400000000000002"/>
    <n v="4.3959999999999999"/>
    <n v="32900"/>
    <n v="7"/>
  </r>
  <r>
    <d v="2025-03-29T00:00:00"/>
    <s v="M30"/>
    <n v="6"/>
    <n v="38"/>
    <x v="43"/>
    <n v="57"/>
    <n v="186.048"/>
    <n v="31200"/>
    <n v="228"/>
  </r>
  <r>
    <d v="2025-04-01T00:00:00"/>
    <s v="M25"/>
    <n v="7"/>
    <n v="2"/>
    <x v="24"/>
    <n v="3.22"/>
    <n v="9.4079999999999995"/>
    <n v="35000"/>
    <n v="14"/>
  </r>
  <r>
    <d v="2025-04-02T00:00:00"/>
    <s v="M20"/>
    <n v="6"/>
    <n v="5"/>
    <x v="32"/>
    <n v="9.6"/>
    <n v="18.84"/>
    <n v="28200"/>
    <n v="30"/>
  </r>
  <r>
    <d v="2025-04-02T00:00:00"/>
    <s v="M25"/>
    <n v="5.5"/>
    <n v="1"/>
    <x v="32"/>
    <n v="1.2649999999999999"/>
    <n v="3.6960000000000002"/>
    <n v="27500"/>
    <n v="5.5"/>
  </r>
  <r>
    <d v="2025-04-02T00:00:00"/>
    <s v="M25"/>
    <n v="2.5"/>
    <n v="1"/>
    <x v="22"/>
    <n v="0.57499999999999996"/>
    <n v="1.68"/>
    <n v="12500"/>
    <n v="2.5"/>
  </r>
  <r>
    <d v="2025-04-02T00:00:00"/>
    <s v="M20"/>
    <n v="7"/>
    <n v="1"/>
    <x v="44"/>
    <n v="2.2400000000000002"/>
    <n v="4.3959999999999999"/>
    <n v="32900"/>
    <n v="7"/>
  </r>
  <r>
    <d v="2025-04-02T00:00:00"/>
    <s v="M20"/>
    <n v="1"/>
    <n v="1"/>
    <x v="44"/>
    <n v="0.32"/>
    <n v="0.628"/>
    <n v="4700"/>
    <n v="1"/>
  </r>
  <r>
    <d v="2025-04-02T00:00:00"/>
    <s v="M20"/>
    <n v="6"/>
    <n v="2"/>
    <x v="45"/>
    <n v="3.84"/>
    <n v="7.5359999999999996"/>
    <n v="28200"/>
    <n v="12"/>
  </r>
  <r>
    <d v="2025-04-02T00:00:00"/>
    <s v="M20"/>
    <n v="7"/>
    <n v="1"/>
    <x v="46"/>
    <n v="2.2400000000000002"/>
    <n v="4.3959999999999999"/>
    <n v="32900"/>
    <n v="7"/>
  </r>
  <r>
    <d v="2025-04-02T00:00:00"/>
    <s v="M20"/>
    <n v="6"/>
    <n v="1"/>
    <x v="19"/>
    <n v="1.92"/>
    <n v="3.7679999999999998"/>
    <n v="28200"/>
    <n v="6"/>
  </r>
  <r>
    <d v="2025-04-02T00:00:00"/>
    <s v="M20"/>
    <n v="6.5"/>
    <n v="2"/>
    <x v="19"/>
    <n v="4.16"/>
    <n v="8.1639999999999997"/>
    <n v="30550"/>
    <n v="13"/>
  </r>
  <r>
    <d v="2025-04-05T00:00:00"/>
    <s v="M20"/>
    <n v="7"/>
    <n v="3"/>
    <x v="47"/>
    <n v="6.72"/>
    <n v="13.188000000000001"/>
    <n v="32900"/>
    <n v="21"/>
  </r>
  <r>
    <d v="2025-04-06T00:00:00"/>
    <s v="M25"/>
    <n v="6"/>
    <n v="40"/>
    <x v="48"/>
    <n v="55.2"/>
    <n v="161.28"/>
    <n v="30000"/>
    <n v="240"/>
  </r>
  <r>
    <d v="2025-04-07T00:00:00"/>
    <s v="M10"/>
    <n v="6"/>
    <n v="1"/>
    <x v="24"/>
    <n v="1.26"/>
    <n v="4.6379999999999999"/>
    <n v="24000"/>
    <n v="6"/>
  </r>
  <r>
    <d v="2025-04-07T00:00:00"/>
    <s v="M10"/>
    <n v="1"/>
    <n v="1"/>
    <x v="24"/>
    <n v="0.21"/>
    <n v="0.77300000000000002"/>
    <n v="4000"/>
    <n v="1"/>
  </r>
  <r>
    <d v="2025-04-07T00:00:00"/>
    <s v="M25"/>
    <n v="7"/>
    <n v="8"/>
    <x v="49"/>
    <n v="12.88"/>
    <n v="37.631999999999998"/>
    <n v="35000"/>
    <n v="56"/>
  </r>
  <r>
    <d v="2025-04-07T00:00:00"/>
    <s v="M25"/>
    <n v="6"/>
    <n v="1"/>
    <x v="49"/>
    <n v="1.38"/>
    <n v="4.032"/>
    <n v="30000"/>
    <n v="6"/>
  </r>
  <r>
    <d v="2025-04-07T00:00:00"/>
    <s v="M25"/>
    <n v="6.5"/>
    <n v="1"/>
    <x v="49"/>
    <n v="1.4950000000000001"/>
    <n v="4.3680000000000003"/>
    <n v="32500"/>
    <n v="6.5"/>
  </r>
  <r>
    <d v="2025-04-07T00:00:00"/>
    <s v="M10"/>
    <n v="6"/>
    <n v="2"/>
    <x v="31"/>
    <n v="2.52"/>
    <n v="9.2759999999999998"/>
    <n v="24000"/>
    <n v="12"/>
  </r>
  <r>
    <d v="2025-04-08T00:00:00"/>
    <s v="M20"/>
    <n v="3"/>
    <n v="3"/>
    <x v="50"/>
    <n v="2.88"/>
    <n v="5.6520000000000001"/>
    <n v="14100"/>
    <n v="9"/>
  </r>
  <r>
    <d v="2025-04-08T00:00:00"/>
    <s v="M10"/>
    <n v="1"/>
    <n v="1"/>
    <x v="50"/>
    <n v="0.21"/>
    <n v="0.77300000000000002"/>
    <n v="4000"/>
    <n v="1"/>
  </r>
  <r>
    <d v="2025-04-08T00:00:00"/>
    <s v="M20"/>
    <n v="6"/>
    <n v="1"/>
    <x v="44"/>
    <n v="1.92"/>
    <n v="3.7679999999999998"/>
    <n v="28200"/>
    <n v="6"/>
  </r>
  <r>
    <d v="2025-04-08T00:00:00"/>
    <s v="M20"/>
    <n v="8"/>
    <n v="1"/>
    <x v="44"/>
    <n v="2.56"/>
    <n v="5.024"/>
    <n v="37600"/>
    <n v="8"/>
  </r>
  <r>
    <d v="2025-04-08T00:00:00"/>
    <s v="M25"/>
    <n v="7"/>
    <n v="2"/>
    <x v="24"/>
    <n v="3.22"/>
    <n v="9.4079999999999995"/>
    <n v="35000"/>
    <n v="14"/>
  </r>
  <r>
    <d v="2025-04-10T00:00:00"/>
    <s v="M20"/>
    <n v="5.25"/>
    <n v="2"/>
    <x v="26"/>
    <n v="3.36"/>
    <n v="6.5940000000000003"/>
    <n v="24675"/>
    <n v="10.5"/>
  </r>
  <r>
    <d v="2025-04-10T00:00:00"/>
    <s v="M25"/>
    <n v="7"/>
    <n v="7"/>
    <x v="30"/>
    <n v="11.27"/>
    <n v="32.927999999999997"/>
    <n v="35000"/>
    <n v="49"/>
  </r>
  <r>
    <d v="2025-04-11T00:00:00"/>
    <s v="M20"/>
    <n v="6"/>
    <n v="1"/>
    <x v="44"/>
    <n v="1.92"/>
    <n v="3.7679999999999998"/>
    <n v="28200"/>
    <n v="6"/>
  </r>
  <r>
    <d v="2025-04-11T00:00:00"/>
    <s v="M20"/>
    <n v="7"/>
    <n v="4"/>
    <x v="51"/>
    <n v="8.9600000000000009"/>
    <n v="17.584"/>
    <n v="32900"/>
    <n v="28"/>
  </r>
  <r>
    <d v="2025-04-11T00:00:00"/>
    <s v="M20"/>
    <n v="6"/>
    <n v="1"/>
    <x v="51"/>
    <n v="1.92"/>
    <n v="3.7679999999999998"/>
    <n v="28200"/>
    <n v="6"/>
  </r>
  <r>
    <d v="2025-04-11T00:00:00"/>
    <s v="M25"/>
    <n v="7"/>
    <n v="2"/>
    <x v="51"/>
    <n v="3.22"/>
    <n v="9.4079999999999995"/>
    <n v="35000"/>
    <n v="14"/>
  </r>
  <r>
    <d v="2025-04-11T00:00:00"/>
    <s v="M20"/>
    <n v="6.5"/>
    <n v="1"/>
    <x v="51"/>
    <n v="2.08"/>
    <n v="4.0819999999999999"/>
    <n v="30550"/>
    <n v="6.5"/>
  </r>
  <r>
    <d v="2025-04-11T00:00:00"/>
    <s v="M20"/>
    <n v="4"/>
    <n v="1"/>
    <x v="44"/>
    <n v="1.28"/>
    <n v="2.512"/>
    <n v="18800"/>
    <n v="4"/>
  </r>
  <r>
    <d v="2025-04-12T00:00:00"/>
    <s v="M25"/>
    <n v="6"/>
    <n v="1"/>
    <x v="52"/>
    <n v="1.38"/>
    <n v="4.032"/>
    <n v="30000"/>
    <n v="6"/>
  </r>
  <r>
    <d v="2025-04-12T00:00:00"/>
    <s v="M25"/>
    <n v="5.5"/>
    <n v="1"/>
    <x v="52"/>
    <n v="1.2649999999999999"/>
    <n v="3.6960000000000002"/>
    <n v="27500"/>
    <n v="5.5"/>
  </r>
  <r>
    <d v="2025-04-12T00:00:00"/>
    <s v="M20"/>
    <n v="1"/>
    <n v="1"/>
    <x v="44"/>
    <n v="0.32"/>
    <n v="0.628"/>
    <n v="4700"/>
    <n v="1"/>
  </r>
  <r>
    <d v="2025-04-12T00:00:00"/>
    <s v="M30"/>
    <n v="6"/>
    <n v="4"/>
    <x v="48"/>
    <n v="6"/>
    <n v="19.584"/>
    <n v="31200"/>
    <n v="24"/>
  </r>
  <r>
    <d v="2025-04-12T00:00:00"/>
    <s v="M20"/>
    <n v="6"/>
    <n v="2"/>
    <x v="53"/>
    <n v="3.84"/>
    <n v="7.5359999999999996"/>
    <n v="28200"/>
    <n v="12"/>
  </r>
  <r>
    <d v="2025-04-12T00:00:00"/>
    <s v="M20"/>
    <n v="7"/>
    <n v="1"/>
    <x v="53"/>
    <n v="2.2400000000000002"/>
    <n v="4.3959999999999999"/>
    <n v="32900"/>
    <n v="7"/>
  </r>
  <r>
    <d v="2025-04-13T00:00:00"/>
    <s v="M30"/>
    <n v="6.5"/>
    <n v="1"/>
    <x v="48"/>
    <n v="1.625"/>
    <n v="5.3040000000000003"/>
    <n v="33800"/>
    <n v="6.5"/>
  </r>
  <r>
    <d v="2025-04-13T00:00:00"/>
    <s v="M25"/>
    <n v="3"/>
    <n v="1"/>
    <x v="54"/>
    <n v="0.69"/>
    <n v="2.016"/>
    <n v="15000"/>
    <n v="3"/>
  </r>
  <r>
    <d v="2025-04-14T00:00:00"/>
    <s v="M30"/>
    <n v="5.5"/>
    <n v="1"/>
    <x v="48"/>
    <n v="1.375"/>
    <n v="4.4880000000000004"/>
    <n v="28600"/>
    <n v="5.5"/>
  </r>
  <r>
    <d v="2025-04-14T00:00:00"/>
    <s v="M25"/>
    <n v="6.5"/>
    <n v="1"/>
    <x v="55"/>
    <n v="1.4950000000000001"/>
    <n v="4.3680000000000003"/>
    <n v="32500"/>
    <n v="6.5"/>
  </r>
  <r>
    <d v="2025-04-14T00:00:00"/>
    <s v="M25"/>
    <n v="6"/>
    <n v="1"/>
    <x v="55"/>
    <n v="1.38"/>
    <n v="4.032"/>
    <n v="30000"/>
    <n v="6"/>
  </r>
  <r>
    <d v="2025-04-14T00:00:00"/>
    <s v="M20"/>
    <n v="3"/>
    <n v="1"/>
    <x v="26"/>
    <n v="0.96"/>
    <n v="1.8839999999999999"/>
    <n v="14100"/>
    <n v="3"/>
  </r>
  <r>
    <d v="2025-04-14T00:00:00"/>
    <s v="M15"/>
    <n v="6"/>
    <n v="1"/>
    <x v="6"/>
    <n v="1.56"/>
    <n v="4.3019999999999996"/>
    <n v="25800"/>
    <n v="6"/>
  </r>
  <r>
    <d v="2025-04-14T00:00:00"/>
    <s v="M25"/>
    <n v="7"/>
    <n v="3"/>
    <x v="56"/>
    <n v="4.83"/>
    <n v="14.112"/>
    <n v="35000"/>
    <n v="21"/>
  </r>
  <r>
    <d v="2025-04-14T00:00:00"/>
    <s v="M20"/>
    <n v="6"/>
    <n v="1"/>
    <x v="44"/>
    <n v="1.92"/>
    <n v="3.7679999999999998"/>
    <n v="28200"/>
    <n v="6"/>
  </r>
  <r>
    <d v="2025-04-14T00:00:00"/>
    <s v="M25"/>
    <n v="5"/>
    <n v="1"/>
    <x v="56"/>
    <n v="1.1499999999999999"/>
    <n v="3.36"/>
    <n v="25000"/>
    <n v="5"/>
  </r>
  <r>
    <d v="2025-04-14T00:00:00"/>
    <s v="M10"/>
    <n v="4"/>
    <n v="1"/>
    <x v="48"/>
    <n v="0.84"/>
    <n v="3.0920000000000001"/>
    <n v="16000"/>
    <n v="4"/>
  </r>
  <r>
    <d v="2025-04-14T00:00:00"/>
    <s v="M25"/>
    <n v="7"/>
    <n v="5"/>
    <x v="36"/>
    <n v="8.0500000000000007"/>
    <n v="23.52"/>
    <n v="35000"/>
    <n v="35"/>
  </r>
  <r>
    <d v="2025-04-14T00:00:00"/>
    <s v="M25"/>
    <n v="6"/>
    <n v="2"/>
    <x v="36"/>
    <n v="2.76"/>
    <n v="8.0640000000000001"/>
    <n v="30000"/>
    <n v="12"/>
  </r>
  <r>
    <d v="2025-04-14T00:00:00"/>
    <s v="M20"/>
    <n v="4"/>
    <n v="1"/>
    <x v="44"/>
    <n v="1.28"/>
    <n v="2.512"/>
    <n v="18800"/>
    <n v="4"/>
  </r>
  <r>
    <d v="2025-04-17T00:00:00"/>
    <s v="M20"/>
    <n v="8"/>
    <n v="2"/>
    <x v="57"/>
    <n v="5.12"/>
    <n v="10.048"/>
    <n v="37600"/>
    <n v="16"/>
  </r>
  <r>
    <d v="2025-04-17T00:00:00"/>
    <s v="M20"/>
    <n v="4.5"/>
    <n v="1"/>
    <x v="58"/>
    <n v="1.44"/>
    <n v="2.8260000000000001"/>
    <n v="21150"/>
    <n v="4.5"/>
  </r>
  <r>
    <d v="2025-04-18T00:00:00"/>
    <s v="M30"/>
    <n v="7"/>
    <n v="2"/>
    <x v="48"/>
    <n v="3.5"/>
    <n v="11.423999999999999"/>
    <n v="36400"/>
    <n v="14"/>
  </r>
  <r>
    <d v="2025-04-18T00:00:00"/>
    <s v="M30"/>
    <n v="6"/>
    <n v="1"/>
    <x v="48"/>
    <n v="1.5"/>
    <n v="4.8959999999999999"/>
    <n v="31200"/>
    <n v="6"/>
  </r>
  <r>
    <d v="2025-04-19T00:00:00"/>
    <s v="M25"/>
    <n v="7"/>
    <n v="11"/>
    <x v="59"/>
    <n v="17.71"/>
    <n v="51.744"/>
    <n v="35000"/>
    <n v="77"/>
  </r>
  <r>
    <d v="2025-04-19T00:00:00"/>
    <s v="M30"/>
    <n v="5.5"/>
    <n v="1"/>
    <x v="48"/>
    <n v="1.375"/>
    <n v="4.4880000000000004"/>
    <n v="28600"/>
    <n v="5.5"/>
  </r>
  <r>
    <d v="2025-04-19T00:00:00"/>
    <s v="M30"/>
    <n v="7"/>
    <n v="3"/>
    <x v="60"/>
    <n v="5.25"/>
    <n v="17.135999999999999"/>
    <n v="36400"/>
    <n v="21"/>
  </r>
  <r>
    <d v="2025-04-19T00:00:00"/>
    <s v="M30"/>
    <n v="7"/>
    <n v="3"/>
    <x v="6"/>
    <n v="5.25"/>
    <n v="17.135999999999999"/>
    <n v="36400"/>
    <n v="21"/>
  </r>
  <r>
    <d v="2025-04-20T00:00:00"/>
    <s v="M25"/>
    <n v="5.5"/>
    <n v="2"/>
    <x v="61"/>
    <n v="2.5299999999999998"/>
    <n v="7.3920000000000003"/>
    <n v="27500"/>
    <n v="11"/>
  </r>
  <r>
    <d v="2025-04-20T00:00:00"/>
    <s v="M30"/>
    <n v="4.5"/>
    <n v="1"/>
    <x v="48"/>
    <n v="1.125"/>
    <n v="3.6720000000000002"/>
    <n v="23400"/>
    <n v="4.5"/>
  </r>
  <r>
    <d v="2025-04-20T00:00:00"/>
    <s v="M30"/>
    <n v="3"/>
    <n v="1"/>
    <x v="48"/>
    <n v="0.75"/>
    <n v="2.448"/>
    <n v="15600"/>
    <n v="3"/>
  </r>
  <r>
    <d v="2025-04-20T00:00:00"/>
    <s v="M30"/>
    <n v="5"/>
    <n v="2"/>
    <x v="6"/>
    <n v="2.5"/>
    <n v="8.16"/>
    <n v="26000"/>
    <n v="10"/>
  </r>
  <r>
    <d v="2025-04-20T00:00:00"/>
    <s v="M10"/>
    <n v="3"/>
    <n v="1"/>
    <x v="6"/>
    <n v="0.63"/>
    <n v="2.319"/>
    <n v="12000"/>
    <n v="3"/>
  </r>
  <r>
    <d v="2025-04-20T00:00:00"/>
    <s v="M25"/>
    <n v="7"/>
    <n v="2"/>
    <x v="62"/>
    <n v="3.22"/>
    <n v="9.4079999999999995"/>
    <n v="35000"/>
    <n v="14"/>
  </r>
  <r>
    <d v="2025-04-22T00:00:00"/>
    <s v="M25"/>
    <n v="7"/>
    <n v="4"/>
    <x v="63"/>
    <n v="6.44"/>
    <n v="18.815999999999999"/>
    <n v="35000"/>
    <n v="28"/>
  </r>
  <r>
    <d v="2025-04-22T00:00:00"/>
    <s v="M25"/>
    <n v="7"/>
    <n v="1"/>
    <x v="63"/>
    <n v="1.61"/>
    <n v="4.7039999999999997"/>
    <n v="35000"/>
    <n v="7"/>
  </r>
  <r>
    <d v="2025-04-23T00:00:00"/>
    <s v="M25"/>
    <n v="5"/>
    <n v="1"/>
    <x v="0"/>
    <n v="1.1499999999999999"/>
    <n v="3.36"/>
    <n v="25000"/>
    <n v="5"/>
  </r>
  <r>
    <d v="2025-04-23T00:00:00"/>
    <s v="M30"/>
    <n v="6"/>
    <n v="2"/>
    <x v="48"/>
    <n v="3"/>
    <n v="9.7919999999999998"/>
    <n v="31200"/>
    <n v="12"/>
  </r>
  <r>
    <d v="2025-04-23T00:00:00"/>
    <s v="M30"/>
    <n v="5"/>
    <n v="1"/>
    <x v="48"/>
    <n v="1.25"/>
    <n v="4.08"/>
    <n v="26000"/>
    <n v="5"/>
  </r>
  <r>
    <d v="2025-04-23T00:00:00"/>
    <s v="M15"/>
    <n v="5.5"/>
    <n v="2"/>
    <x v="6"/>
    <n v="2.86"/>
    <n v="7.8869999999999996"/>
    <n v="23650"/>
    <n v="11"/>
  </r>
  <r>
    <d v="2025-04-23T00:00:00"/>
    <s v="M20"/>
    <n v="4"/>
    <n v="1"/>
    <x v="6"/>
    <n v="1.28"/>
    <n v="2.512"/>
    <n v="18800"/>
    <n v="4"/>
  </r>
  <r>
    <d v="2025-04-24T00:00:00"/>
    <s v="M10"/>
    <n v="7"/>
    <n v="1"/>
    <x v="6"/>
    <n v="1.47"/>
    <n v="5.4109999999999996"/>
    <n v="28000"/>
    <n v="7"/>
  </r>
  <r>
    <d v="2025-04-24T00:00:00"/>
    <s v="M30"/>
    <n v="7"/>
    <n v="2"/>
    <x v="6"/>
    <n v="3.5"/>
    <n v="11.423999999999999"/>
    <n v="36400"/>
    <n v="14"/>
  </r>
  <r>
    <d v="2025-04-24T00:00:00"/>
    <s v="M20"/>
    <n v="5"/>
    <n v="1"/>
    <x v="26"/>
    <n v="1.6"/>
    <n v="3.14"/>
    <n v="23500"/>
    <n v="5"/>
  </r>
  <r>
    <d v="2025-04-24T00:00:00"/>
    <s v="M30"/>
    <n v="5"/>
    <n v="1"/>
    <x v="48"/>
    <n v="1.25"/>
    <n v="4.08"/>
    <n v="26000"/>
    <n v="5"/>
  </r>
  <r>
    <d v="2025-04-25T00:00:00"/>
    <s v="M30"/>
    <n v="4"/>
    <n v="1"/>
    <x v="48"/>
    <n v="1"/>
    <n v="3.2639999999999998"/>
    <n v="20800"/>
    <n v="4"/>
  </r>
  <r>
    <d v="2025-04-25T00:00:00"/>
    <s v="M35"/>
    <n v="7.5"/>
    <n v="5"/>
    <x v="64"/>
    <n v="9.9375"/>
    <n v="29.625"/>
    <n v="40875"/>
    <n v="37.5"/>
  </r>
  <r>
    <d v="2025-04-26T00:00:00"/>
    <s v="M30"/>
    <n v="3.25"/>
    <n v="1"/>
    <x v="48"/>
    <n v="0.8125"/>
    <n v="2.6520000000000001"/>
    <n v="16900"/>
    <n v="3.25"/>
  </r>
  <r>
    <d v="2025-04-26T00:00:00"/>
    <s v="M30"/>
    <n v="6"/>
    <n v="2"/>
    <x v="6"/>
    <n v="3"/>
    <n v="9.7919999999999998"/>
    <n v="31200"/>
    <n v="12"/>
  </r>
  <r>
    <d v="2025-04-26T00:00:00"/>
    <s v="M30"/>
    <n v="7"/>
    <n v="1"/>
    <x v="6"/>
    <n v="1.75"/>
    <n v="5.7119999999999997"/>
    <n v="36400"/>
    <n v="7"/>
  </r>
  <r>
    <d v="2025-04-26T00:00:00"/>
    <s v="M10"/>
    <n v="7.5"/>
    <n v="1"/>
    <x v="6"/>
    <n v="1.575"/>
    <n v="5.7975000000000003"/>
    <n v="30000"/>
    <n v="7.5"/>
  </r>
  <r>
    <d v="2025-04-26T00:00:00"/>
    <s v="M25"/>
    <n v="7.5"/>
    <n v="2"/>
    <x v="20"/>
    <n v="3.45"/>
    <n v="10.08"/>
    <n v="37500"/>
    <n v="15"/>
  </r>
  <r>
    <d v="2025-04-28T00:00:00"/>
    <s v="M25"/>
    <n v="7"/>
    <n v="2"/>
    <x v="59"/>
    <n v="3.22"/>
    <n v="9.4079999999999995"/>
    <n v="35000"/>
    <n v="14"/>
  </r>
  <r>
    <d v="2025-04-30T00:00:00"/>
    <s v="M20"/>
    <n v="3"/>
    <n v="1"/>
    <x v="65"/>
    <n v="0.96"/>
    <n v="1.8839999999999999"/>
    <n v="14100"/>
    <n v="3"/>
  </r>
  <r>
    <d v="2025-04-30T00:00:00"/>
    <s v="M30"/>
    <n v="6"/>
    <n v="2"/>
    <x v="6"/>
    <n v="3"/>
    <n v="9.7919999999999998"/>
    <n v="31200"/>
    <n v="12"/>
  </r>
  <r>
    <d v="2025-04-30T00:00:00"/>
    <s v="M30"/>
    <n v="2"/>
    <n v="1"/>
    <x v="6"/>
    <n v="0.5"/>
    <n v="1.6319999999999999"/>
    <n v="10400"/>
    <n v="2"/>
  </r>
  <r>
    <d v="2025-05-01T00:00:00"/>
    <s v="M25"/>
    <n v="5.5"/>
    <n v="1"/>
    <x v="66"/>
    <n v="1.2649999999999999"/>
    <n v="3.6960000000000002"/>
    <n v="27500"/>
    <n v="5.5"/>
  </r>
  <r>
    <d v="2025-05-01T00:00:00"/>
    <s v="M25"/>
    <n v="6"/>
    <n v="3"/>
    <x v="66"/>
    <n v="4.1399999999999997"/>
    <n v="12.096"/>
    <n v="30000"/>
    <n v="18"/>
  </r>
  <r>
    <d v="2025-05-01T00:00:00"/>
    <s v="M25"/>
    <n v="7"/>
    <n v="5"/>
    <x v="66"/>
    <n v="8.0500000000000007"/>
    <n v="23.52"/>
    <n v="35000"/>
    <n v="35"/>
  </r>
  <r>
    <d v="2025-05-01T00:00:00"/>
    <s v="M25"/>
    <n v="8"/>
    <n v="1"/>
    <x v="66"/>
    <n v="1.84"/>
    <n v="5.3760000000000003"/>
    <n v="40000"/>
    <n v="8"/>
  </r>
  <r>
    <d v="2025-05-01T00:00:00"/>
    <s v="M15"/>
    <n v="6"/>
    <n v="1"/>
    <x v="43"/>
    <n v="1.56"/>
    <n v="4.3019999999999996"/>
    <n v="25800"/>
    <n v="6"/>
  </r>
  <r>
    <d v="2025-05-01T00:00:00"/>
    <s v="M25"/>
    <n v="7"/>
    <n v="5"/>
    <x v="67"/>
    <n v="8.0500000000000007"/>
    <n v="23.52"/>
    <n v="35000"/>
    <n v="35"/>
  </r>
  <r>
    <d v="2025-05-01T00:00:00"/>
    <s v="M25"/>
    <n v="1.5"/>
    <n v="1"/>
    <x v="67"/>
    <n v="0.34499999999999997"/>
    <n v="1.008"/>
    <n v="7500"/>
    <n v="1.5"/>
  </r>
  <r>
    <d v="2025-05-03T00:00:00"/>
    <s v="M30"/>
    <n v="7"/>
    <n v="2"/>
    <x v="43"/>
    <n v="3.5"/>
    <n v="11.423999999999999"/>
    <n v="36400"/>
    <n v="14"/>
  </r>
  <r>
    <d v="2025-05-03T00:00:00"/>
    <s v="M25"/>
    <n v="7"/>
    <n v="2"/>
    <x v="68"/>
    <n v="3.22"/>
    <n v="9.4079999999999995"/>
    <n v="35000"/>
    <n v="14"/>
  </r>
  <r>
    <d v="2025-05-03T00:00:00"/>
    <s v="M25"/>
    <n v="6.5"/>
    <n v="1"/>
    <x v="68"/>
    <n v="1.4950000000000001"/>
    <n v="4.3680000000000003"/>
    <n v="32500"/>
    <n v="6.5"/>
  </r>
  <r>
    <d v="2025-05-03T00:00:00"/>
    <s v="M20"/>
    <n v="6"/>
    <n v="1"/>
    <x v="69"/>
    <n v="1.92"/>
    <n v="3.7679999999999998"/>
    <n v="28200"/>
    <n v="6"/>
  </r>
  <r>
    <d v="2025-05-03T00:00:00"/>
    <s v="M20"/>
    <n v="7"/>
    <n v="2"/>
    <x v="70"/>
    <n v="4.4800000000000004"/>
    <n v="8.7919999999999998"/>
    <n v="32900"/>
    <n v="14"/>
  </r>
  <r>
    <d v="2025-05-03T00:00:00"/>
    <s v="M20"/>
    <n v="6"/>
    <n v="1"/>
    <x v="70"/>
    <n v="1.92"/>
    <n v="3.7679999999999998"/>
    <n v="28200"/>
    <n v="6"/>
  </r>
  <r>
    <d v="2025-05-03T00:00:00"/>
    <s v="M30"/>
    <n v="7"/>
    <n v="1"/>
    <x v="43"/>
    <n v="1.75"/>
    <n v="5.7119999999999997"/>
    <n v="36400"/>
    <n v="7"/>
  </r>
  <r>
    <d v="2025-05-03T00:00:00"/>
    <s v="M30"/>
    <n v="6.5"/>
    <n v="1"/>
    <x v="43"/>
    <n v="1.625"/>
    <n v="5.3040000000000003"/>
    <n v="33800"/>
    <n v="6.5"/>
  </r>
  <r>
    <d v="2025-05-03T00:00:00"/>
    <s v="M30"/>
    <n v="6"/>
    <n v="1"/>
    <x v="6"/>
    <n v="1.5"/>
    <n v="4.8959999999999999"/>
    <n v="31200"/>
    <n v="6"/>
  </r>
  <r>
    <d v="2025-05-03T00:00:00"/>
    <s v="M30"/>
    <n v="5"/>
    <n v="1"/>
    <x v="6"/>
    <n v="1.25"/>
    <n v="4.08"/>
    <n v="26000"/>
    <n v="5"/>
  </r>
  <r>
    <d v="2025-05-03T00:00:00"/>
    <s v="M30"/>
    <n v="3"/>
    <n v="1"/>
    <x v="6"/>
    <n v="0.75"/>
    <n v="2.448"/>
    <n v="15600"/>
    <n v="3"/>
  </r>
  <r>
    <d v="2025-05-03T00:00:00"/>
    <s v="M25"/>
    <n v="4"/>
    <n v="1"/>
    <x v="71"/>
    <n v="0.92"/>
    <n v="2.6880000000000002"/>
    <n v="20000"/>
    <n v="4"/>
  </r>
  <r>
    <d v="2025-05-06T00:00:00"/>
    <s v="M20"/>
    <n v="7"/>
    <n v="6"/>
    <x v="72"/>
    <n v="13.44"/>
    <n v="26.376000000000001"/>
    <n v="32900"/>
    <n v="42"/>
  </r>
  <r>
    <d v="2025-05-07T00:00:00"/>
    <s v="M10"/>
    <n v="6"/>
    <n v="3"/>
    <x v="26"/>
    <n v="3.78"/>
    <n v="13.914"/>
    <n v="24000"/>
    <n v="18"/>
  </r>
  <r>
    <d v="2025-05-08T00:00:00"/>
    <s v="M30"/>
    <n v="6.5"/>
    <n v="1"/>
    <x v="24"/>
    <n v="1.625"/>
    <n v="5.3040000000000003"/>
    <n v="33800"/>
    <n v="6.5"/>
  </r>
  <r>
    <d v="2025-05-08T00:00:00"/>
    <s v="M30"/>
    <n v="7"/>
    <n v="1"/>
    <x v="24"/>
    <n v="1.75"/>
    <n v="5.7119999999999997"/>
    <n v="36400"/>
    <n v="7"/>
  </r>
  <r>
    <d v="2025-05-08T00:00:00"/>
    <s v="M20"/>
    <n v="7"/>
    <n v="1"/>
    <x v="7"/>
    <n v="2.2400000000000002"/>
    <n v="4.3959999999999999"/>
    <n v="32900"/>
    <n v="7"/>
  </r>
  <r>
    <d v="2025-05-08T00:00:00"/>
    <s v="M20"/>
    <n v="6"/>
    <n v="2"/>
    <x v="25"/>
    <n v="3.84"/>
    <n v="7.5359999999999996"/>
    <n v="28200"/>
    <n v="12"/>
  </r>
  <r>
    <d v="2025-05-09T00:00:00"/>
    <s v="M10"/>
    <n v="7"/>
    <n v="1"/>
    <x v="73"/>
    <n v="1.47"/>
    <n v="5.4109999999999996"/>
    <n v="28000"/>
    <n v="7"/>
  </r>
  <r>
    <d v="2025-05-09T00:00:00"/>
    <s v="M10"/>
    <n v="6"/>
    <n v="2"/>
    <x v="74"/>
    <n v="2.52"/>
    <n v="9.2759999999999998"/>
    <n v="24000"/>
    <n v="12"/>
  </r>
  <r>
    <d v="2025-05-09T00:00:00"/>
    <s v="M10"/>
    <n v="7"/>
    <n v="3"/>
    <x v="74"/>
    <n v="4.41"/>
    <n v="16.233000000000001"/>
    <n v="28000"/>
    <n v="21"/>
  </r>
  <r>
    <d v="2025-05-10T00:00:00"/>
    <s v="M30"/>
    <n v="6"/>
    <n v="14"/>
    <x v="74"/>
    <n v="21"/>
    <n v="68.543999999999997"/>
    <n v="31200"/>
    <n v="84"/>
  </r>
  <r>
    <d v="2025-05-10T00:00:00"/>
    <s v="M10"/>
    <n v="7"/>
    <n v="2"/>
    <x v="74"/>
    <n v="2.94"/>
    <n v="10.821999999999999"/>
    <n v="28000"/>
    <n v="14"/>
  </r>
  <r>
    <d v="2025-05-10T00:00:00"/>
    <s v="M10"/>
    <n v="6"/>
    <n v="1"/>
    <x v="74"/>
    <n v="1.26"/>
    <n v="4.6379999999999999"/>
    <n v="24000"/>
    <n v="6"/>
  </r>
  <r>
    <d v="2025-05-11T00:00:00"/>
    <s v="M10"/>
    <n v="7"/>
    <n v="2"/>
    <x v="74"/>
    <n v="2.94"/>
    <n v="10.821999999999999"/>
    <n v="28000"/>
    <n v="14"/>
  </r>
  <r>
    <d v="2025-05-11T00:00:00"/>
    <s v="M30"/>
    <n v="6"/>
    <n v="12"/>
    <x v="74"/>
    <n v="18"/>
    <n v="58.752000000000002"/>
    <n v="31200"/>
    <n v="72"/>
  </r>
  <r>
    <d v="2025-05-12T00:00:00"/>
    <s v="M30"/>
    <n v="6"/>
    <n v="8"/>
    <x v="74"/>
    <n v="12"/>
    <n v="39.167999999999999"/>
    <n v="31200"/>
    <n v="48"/>
  </r>
  <r>
    <d v="2025-05-12T00:00:00"/>
    <s v="M10"/>
    <n v="7"/>
    <n v="3"/>
    <x v="74"/>
    <n v="4.41"/>
    <n v="16.233000000000001"/>
    <n v="28000"/>
    <n v="21"/>
  </r>
  <r>
    <d v="2025-05-12T00:00:00"/>
    <s v="M15"/>
    <n v="7"/>
    <n v="1"/>
    <x v="43"/>
    <n v="1.82"/>
    <n v="5.0190000000000001"/>
    <n v="30100"/>
    <n v="7"/>
  </r>
  <r>
    <d v="2025-05-12T00:00:00"/>
    <s v="M15"/>
    <n v="6"/>
    <n v="1"/>
    <x v="43"/>
    <n v="1.56"/>
    <n v="4.3019999999999996"/>
    <n v="25800"/>
    <n v="6"/>
  </r>
  <r>
    <d v="2025-05-13T00:00:00"/>
    <s v="M25"/>
    <n v="7"/>
    <n v="1"/>
    <x v="65"/>
    <n v="1.61"/>
    <n v="4.7039999999999997"/>
    <n v="35000"/>
    <n v="7"/>
  </r>
  <r>
    <d v="2025-05-13T00:00:00"/>
    <s v="M25"/>
    <n v="7"/>
    <n v="6"/>
    <x v="1"/>
    <n v="9.66"/>
    <n v="28.224"/>
    <n v="35000"/>
    <n v="42"/>
  </r>
  <r>
    <d v="2025-05-13T00:00:00"/>
    <s v="M25"/>
    <n v="6.5"/>
    <n v="1"/>
    <x v="1"/>
    <n v="1.4950000000000001"/>
    <n v="4.3680000000000003"/>
    <n v="32500"/>
    <n v="6.5"/>
  </r>
  <r>
    <d v="2025-05-13T00:00:00"/>
    <s v="M25"/>
    <n v="5"/>
    <n v="1"/>
    <x v="65"/>
    <n v="1.1499999999999999"/>
    <n v="3.36"/>
    <n v="25000"/>
    <n v="5"/>
  </r>
  <r>
    <d v="2025-05-13T00:00:00"/>
    <s v="M30"/>
    <n v="6"/>
    <n v="11"/>
    <x v="74"/>
    <n v="16.5"/>
    <n v="53.856000000000002"/>
    <n v="31200"/>
    <n v="66"/>
  </r>
  <r>
    <d v="2025-05-13T00:00:00"/>
    <s v="M30"/>
    <n v="7"/>
    <n v="2"/>
    <x v="43"/>
    <n v="3.5"/>
    <n v="11.423999999999999"/>
    <n v="36400"/>
    <n v="14"/>
  </r>
  <r>
    <d v="2025-05-13T00:00:00"/>
    <s v="M15"/>
    <n v="6"/>
    <n v="2"/>
    <x v="43"/>
    <n v="3.12"/>
    <n v="8.6039999999999992"/>
    <n v="25800"/>
    <n v="12"/>
  </r>
  <r>
    <d v="2025-05-13T00:00:00"/>
    <s v="M20"/>
    <n v="7"/>
    <n v="2"/>
    <x v="75"/>
    <n v="4.4800000000000004"/>
    <n v="8.7919999999999998"/>
    <n v="32900"/>
    <n v="14"/>
  </r>
  <r>
    <d v="2025-05-14T00:00:00"/>
    <s v="M30"/>
    <n v="7"/>
    <n v="1"/>
    <x v="74"/>
    <n v="1.75"/>
    <n v="5.7119999999999997"/>
    <n v="36400"/>
    <n v="7"/>
  </r>
  <r>
    <d v="2025-05-14T00:00:00"/>
    <s v="M30"/>
    <n v="6"/>
    <n v="1"/>
    <x v="74"/>
    <n v="1.5"/>
    <n v="4.8959999999999999"/>
    <n v="31200"/>
    <n v="6"/>
  </r>
  <r>
    <d v="2025-05-14T00:00:00"/>
    <s v="M30"/>
    <n v="6"/>
    <n v="4"/>
    <x v="43"/>
    <n v="6"/>
    <n v="19.584"/>
    <n v="31200"/>
    <n v="24"/>
  </r>
  <r>
    <d v="2025-05-14T00:00:00"/>
    <s v="M20"/>
    <n v="5"/>
    <n v="1"/>
    <x v="23"/>
    <n v="1.6"/>
    <n v="3.14"/>
    <n v="23500"/>
    <n v="5"/>
  </r>
  <r>
    <d v="2025-05-14T00:00:00"/>
    <s v="M20"/>
    <n v="1.5"/>
    <n v="1"/>
    <x v="23"/>
    <n v="0.48"/>
    <n v="0.94199999999999995"/>
    <n v="7050"/>
    <n v="1.5"/>
  </r>
  <r>
    <d v="2025-05-15T00:00:00"/>
    <s v="M30"/>
    <n v="6"/>
    <n v="6"/>
    <x v="43"/>
    <n v="9"/>
    <n v="29.376000000000001"/>
    <n v="31200"/>
    <n v="36"/>
  </r>
  <r>
    <d v="2025-05-16T00:00:00"/>
    <s v="M30"/>
    <n v="6"/>
    <n v="1"/>
    <x v="43"/>
    <n v="1.5"/>
    <n v="4.8959999999999999"/>
    <n v="31200"/>
    <n v="6"/>
  </r>
  <r>
    <d v="2025-05-16T00:00:00"/>
    <s v="M30"/>
    <n v="5"/>
    <n v="2"/>
    <x v="43"/>
    <n v="2.5"/>
    <n v="8.16"/>
    <n v="26000"/>
    <n v="10"/>
  </r>
  <r>
    <d v="2025-05-16T00:00:00"/>
    <s v="M25"/>
    <n v="7"/>
    <n v="2"/>
    <x v="74"/>
    <n v="3.22"/>
    <n v="9.4079999999999995"/>
    <n v="35000"/>
    <n v="14"/>
  </r>
  <r>
    <d v="2025-05-16T00:00:00"/>
    <s v="M25"/>
    <n v="6"/>
    <n v="3"/>
    <x v="74"/>
    <n v="4.1399999999999997"/>
    <n v="12.096"/>
    <n v="30000"/>
    <n v="18"/>
  </r>
  <r>
    <d v="2025-05-17T00:00:00"/>
    <s v="M30"/>
    <n v="6"/>
    <n v="12"/>
    <x v="43"/>
    <n v="18"/>
    <n v="58.752000000000002"/>
    <n v="31200"/>
    <n v="72"/>
  </r>
  <r>
    <d v="2025-05-17T00:00:00"/>
    <s v="M25"/>
    <n v="7"/>
    <n v="3"/>
    <x v="76"/>
    <n v="4.83"/>
    <n v="14.112"/>
    <n v="35000"/>
    <n v="21"/>
  </r>
  <r>
    <d v="2025-05-17T00:00:00"/>
    <s v="M25"/>
    <n v="4"/>
    <n v="1"/>
    <x v="76"/>
    <n v="0.92"/>
    <n v="2.6880000000000002"/>
    <n v="20000"/>
    <n v="4"/>
  </r>
  <r>
    <d v="2025-05-17T00:00:00"/>
    <s v="M25"/>
    <n v="1"/>
    <n v="1"/>
    <x v="76"/>
    <n v="0.23"/>
    <n v="0.67200000000000004"/>
    <n v="5000"/>
    <n v="1"/>
  </r>
  <r>
    <d v="2025-05-17T00:00:00"/>
    <s v="M30"/>
    <n v="6"/>
    <n v="2"/>
    <x v="47"/>
    <n v="3"/>
    <n v="9.7919999999999998"/>
    <n v="31200"/>
    <n v="12"/>
  </r>
  <r>
    <d v="2025-05-18T00:00:00"/>
    <s v="M30"/>
    <n v="5"/>
    <n v="2"/>
    <x v="43"/>
    <n v="2.5"/>
    <n v="8.16"/>
    <n v="26000"/>
    <n v="10"/>
  </r>
  <r>
    <d v="2025-05-18T00:00:00"/>
    <s v="M30"/>
    <n v="6"/>
    <n v="3"/>
    <x v="43"/>
    <n v="4.5"/>
    <n v="14.688000000000001"/>
    <n v="31200"/>
    <n v="18"/>
  </r>
  <r>
    <d v="2025-05-20T00:00:00"/>
    <s v="M30"/>
    <n v="6"/>
    <n v="4"/>
    <x v="43"/>
    <n v="6"/>
    <n v="19.584"/>
    <n v="31200"/>
    <n v="24"/>
  </r>
  <r>
    <d v="2025-05-20T00:00:00"/>
    <s v="M30"/>
    <n v="5.5"/>
    <n v="1"/>
    <x v="43"/>
    <n v="1.375"/>
    <n v="4.4880000000000004"/>
    <n v="28600"/>
    <n v="5.5"/>
  </r>
  <r>
    <d v="2025-05-20T00:00:00"/>
    <s v="M25"/>
    <n v="7"/>
    <n v="5"/>
    <x v="30"/>
    <n v="8.0500000000000007"/>
    <n v="23.52"/>
    <n v="35000"/>
    <n v="35"/>
  </r>
  <r>
    <d v="2025-05-21T00:00:00"/>
    <s v="M30"/>
    <n v="6"/>
    <n v="11"/>
    <x v="77"/>
    <n v="16.5"/>
    <n v="53.856000000000002"/>
    <n v="31200"/>
    <n v="66"/>
  </r>
  <r>
    <d v="2025-05-22T00:00:00"/>
    <s v="M25"/>
    <n v="7"/>
    <n v="9"/>
    <x v="59"/>
    <n v="14.49"/>
    <n v="42.335999999999999"/>
    <n v="35000"/>
    <n v="63"/>
  </r>
  <r>
    <d v="2025-05-22T00:00:00"/>
    <s v="M25"/>
    <n v="4"/>
    <n v="1"/>
    <x v="59"/>
    <n v="0.92"/>
    <n v="2.6880000000000002"/>
    <n v="20000"/>
    <n v="4"/>
  </r>
  <r>
    <d v="2025-05-22T00:00:00"/>
    <s v="M25"/>
    <n v="6"/>
    <n v="1"/>
    <x v="59"/>
    <n v="1.38"/>
    <n v="4.032"/>
    <n v="30000"/>
    <n v="6"/>
  </r>
  <r>
    <d v="2025-05-22T00:00:00"/>
    <s v="M25"/>
    <n v="4.75"/>
    <n v="1"/>
    <x v="59"/>
    <n v="1.0925"/>
    <n v="3.1920000000000002"/>
    <n v="23750"/>
    <n v="4.75"/>
  </r>
  <r>
    <d v="2025-05-22T00:00:00"/>
    <s v="M15"/>
    <n v="7"/>
    <n v="3"/>
    <x v="50"/>
    <n v="5.46"/>
    <n v="15.057"/>
    <n v="30100"/>
    <n v="21"/>
  </r>
  <r>
    <d v="2025-05-22T00:00:00"/>
    <s v="M15"/>
    <n v="6"/>
    <n v="1"/>
    <x v="50"/>
    <n v="1.56"/>
    <n v="4.3019999999999996"/>
    <n v="25800"/>
    <n v="6"/>
  </r>
  <r>
    <d v="2025-05-23T00:00:00"/>
    <s v="M30"/>
    <n v="7"/>
    <n v="9"/>
    <x v="77"/>
    <n v="15.75"/>
    <n v="51.408000000000001"/>
    <n v="36400"/>
    <n v="63"/>
  </r>
  <r>
    <d v="2025-05-23T00:00:00"/>
    <s v="M30"/>
    <n v="4"/>
    <n v="2"/>
    <x v="77"/>
    <n v="2"/>
    <n v="6.5279999999999996"/>
    <n v="20800"/>
    <n v="8"/>
  </r>
  <r>
    <d v="2025-05-23T00:00:00"/>
    <s v="M15"/>
    <n v="6"/>
    <n v="2"/>
    <x v="50"/>
    <n v="3.12"/>
    <n v="8.6039999999999992"/>
    <n v="25800"/>
    <n v="12"/>
  </r>
  <r>
    <d v="2025-05-23T00:00:00"/>
    <s v="M15"/>
    <n v="3"/>
    <n v="1"/>
    <x v="50"/>
    <n v="0.78"/>
    <n v="2.1509999999999998"/>
    <n v="12900"/>
    <n v="3"/>
  </r>
  <r>
    <d v="2025-05-24T00:00:00"/>
    <s v="M30"/>
    <n v="6"/>
    <n v="2"/>
    <x v="43"/>
    <n v="3"/>
    <n v="9.7919999999999998"/>
    <n v="31200"/>
    <n v="12"/>
  </r>
  <r>
    <d v="2025-05-24T00:00:00"/>
    <s v="M15"/>
    <n v="3"/>
    <n v="1"/>
    <x v="43"/>
    <n v="0.78"/>
    <n v="2.1509999999999998"/>
    <n v="12900"/>
    <n v="3"/>
  </r>
  <r>
    <d v="2025-05-24T00:00:00"/>
    <s v="M20"/>
    <n v="7"/>
    <n v="3"/>
    <x v="41"/>
    <n v="6.72"/>
    <n v="13.188000000000001"/>
    <n v="32900"/>
    <n v="21"/>
  </r>
  <r>
    <d v="2025-05-24T00:00:00"/>
    <s v="M20"/>
    <n v="3.5"/>
    <n v="1"/>
    <x v="41"/>
    <n v="1.1200000000000001"/>
    <n v="2.198"/>
    <n v="16450"/>
    <n v="3.5"/>
  </r>
  <r>
    <d v="2025-05-25T00:00:00"/>
    <s v="M30"/>
    <n v="7"/>
    <n v="1"/>
    <x v="43"/>
    <n v="1.75"/>
    <n v="5.7119999999999997"/>
    <n v="36400"/>
    <n v="7"/>
  </r>
  <r>
    <d v="2025-05-26T00:00:00"/>
    <s v="M30"/>
    <n v="7"/>
    <n v="2"/>
    <x v="78"/>
    <n v="3.5"/>
    <n v="11.423999999999999"/>
    <n v="36400"/>
    <n v="14"/>
  </r>
  <r>
    <d v="2025-05-26T00:00:00"/>
    <s v="M30"/>
    <n v="6"/>
    <n v="14"/>
    <x v="77"/>
    <n v="21"/>
    <n v="68.543999999999997"/>
    <n v="31200"/>
    <n v="84"/>
  </r>
  <r>
    <d v="2025-05-26T00:00:00"/>
    <s v="M25"/>
    <n v="7"/>
    <n v="2"/>
    <x v="79"/>
    <n v="3.22"/>
    <n v="9.4079999999999995"/>
    <n v="35000"/>
    <n v="14"/>
  </r>
  <r>
    <d v="2025-05-26T00:00:00"/>
    <s v="M30"/>
    <n v="2.5"/>
    <n v="1"/>
    <x v="77"/>
    <n v="0.625"/>
    <n v="2.04"/>
    <n v="13000"/>
    <n v="2.5"/>
  </r>
  <r>
    <d v="2025-05-26T00:00:00"/>
    <s v="M10"/>
    <n v="3.5"/>
    <n v="1"/>
    <x v="43"/>
    <n v="0.73499999999999999"/>
    <n v="2.7054999999999998"/>
    <n v="14000"/>
    <n v="3.5"/>
  </r>
  <r>
    <d v="2025-05-27T00:00:00"/>
    <s v="M30"/>
    <n v="6"/>
    <n v="2"/>
    <x v="43"/>
    <n v="3"/>
    <n v="9.7919999999999998"/>
    <n v="31200"/>
    <n v="12"/>
  </r>
  <r>
    <d v="2025-05-28T00:00:00"/>
    <s v="M20"/>
    <n v="6"/>
    <n v="4"/>
    <x v="41"/>
    <n v="7.68"/>
    <n v="15.071999999999999"/>
    <n v="28200"/>
    <n v="24"/>
  </r>
  <r>
    <d v="2025-05-29T00:00:00"/>
    <s v="M15"/>
    <n v="5"/>
    <n v="2"/>
    <x v="80"/>
    <n v="2.6"/>
    <n v="7.17"/>
    <n v="21500"/>
    <n v="10"/>
  </r>
  <r>
    <d v="2025-05-29T00:00:00"/>
    <s v="M30"/>
    <n v="6"/>
    <n v="4"/>
    <x v="24"/>
    <n v="6"/>
    <n v="19.584"/>
    <n v="31200"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BB3E2-F174-44D0-8715-D67F6520C07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O99" firstHeaderRow="0" firstDataRow="1" firstDataCol="1"/>
  <pivotFields count="9">
    <pivotField axis="axisRow" numFmtId="14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/>
    <pivotField showAll="0"/>
    <pivotField showAll="0"/>
    <pivotField showAll="0"/>
    <pivotField dataField="1" numFmtId="2" showAll="0">
      <items count="127">
        <item x="81"/>
        <item x="114"/>
        <item x="12"/>
        <item x="105"/>
        <item x="42"/>
        <item x="112"/>
        <item x="74"/>
        <item x="40"/>
        <item x="1"/>
        <item x="122"/>
        <item x="45"/>
        <item x="18"/>
        <item x="21"/>
        <item x="123"/>
        <item x="7"/>
        <item x="120"/>
        <item x="70"/>
        <item x="0"/>
        <item x="100"/>
        <item x="61"/>
        <item x="31"/>
        <item x="43"/>
        <item x="6"/>
        <item x="98"/>
        <item x="44"/>
        <item x="65"/>
        <item x="117"/>
        <item x="121"/>
        <item x="94"/>
        <item x="34"/>
        <item x="64"/>
        <item x="4"/>
        <item x="80"/>
        <item x="60"/>
        <item x="11"/>
        <item x="3"/>
        <item x="20"/>
        <item x="17"/>
        <item x="15"/>
        <item x="83"/>
        <item x="39"/>
        <item x="8"/>
        <item x="101"/>
        <item x="16"/>
        <item x="59"/>
        <item x="90"/>
        <item x="32"/>
        <item x="14"/>
        <item x="49"/>
        <item x="104"/>
        <item x="46"/>
        <item x="33"/>
        <item x="119"/>
        <item x="53"/>
        <item x="72"/>
        <item x="23"/>
        <item x="95"/>
        <item x="84"/>
        <item x="93"/>
        <item x="86"/>
        <item x="125"/>
        <item x="62"/>
        <item x="97"/>
        <item x="55"/>
        <item x="85"/>
        <item x="58"/>
        <item x="96"/>
        <item x="111"/>
        <item x="68"/>
        <item x="36"/>
        <item x="2"/>
        <item x="87"/>
        <item x="63"/>
        <item x="102"/>
        <item x="30"/>
        <item x="28"/>
        <item x="56"/>
        <item x="106"/>
        <item x="41"/>
        <item x="103"/>
        <item x="19"/>
        <item x="13"/>
        <item x="9"/>
        <item x="54"/>
        <item x="115"/>
        <item x="91"/>
        <item x="76"/>
        <item x="92"/>
        <item x="26"/>
        <item x="66"/>
        <item x="51"/>
        <item x="89"/>
        <item x="38"/>
        <item x="37"/>
        <item x="24"/>
        <item x="67"/>
        <item x="71"/>
        <item x="124"/>
        <item x="35"/>
        <item x="27"/>
        <item x="75"/>
        <item x="22"/>
        <item x="113"/>
        <item x="47"/>
        <item x="78"/>
        <item x="109"/>
        <item x="99"/>
        <item x="52"/>
        <item x="48"/>
        <item x="5"/>
        <item x="88"/>
        <item x="57"/>
        <item x="73"/>
        <item x="82"/>
        <item x="10"/>
        <item x="116"/>
        <item x="50"/>
        <item x="118"/>
        <item x="110"/>
        <item x="25"/>
        <item x="69"/>
        <item x="108"/>
        <item x="107"/>
        <item x="29"/>
        <item x="79"/>
        <item x="77"/>
        <item t="default"/>
      </items>
    </pivotField>
    <pivotField dataField="1" numFmtId="2" showAll="0">
      <items count="126">
        <item x="12"/>
        <item x="113"/>
        <item x="80"/>
        <item x="111"/>
        <item x="104"/>
        <item x="18"/>
        <item x="41"/>
        <item x="69"/>
        <item x="73"/>
        <item x="1"/>
        <item x="6"/>
        <item x="39"/>
        <item x="21"/>
        <item x="121"/>
        <item x="119"/>
        <item x="120"/>
        <item x="44"/>
        <item x="0"/>
        <item x="7"/>
        <item x="31"/>
        <item x="11"/>
        <item x="99"/>
        <item x="42"/>
        <item x="122"/>
        <item x="17"/>
        <item x="64"/>
        <item x="43"/>
        <item x="60"/>
        <item x="16"/>
        <item x="116"/>
        <item x="63"/>
        <item x="97"/>
        <item x="33"/>
        <item x="93"/>
        <item x="59"/>
        <item x="45"/>
        <item x="20"/>
        <item x="4"/>
        <item x="52"/>
        <item x="8"/>
        <item x="82"/>
        <item x="23"/>
        <item x="3"/>
        <item x="79"/>
        <item x="58"/>
        <item x="38"/>
        <item x="48"/>
        <item x="85"/>
        <item x="32"/>
        <item x="89"/>
        <item x="103"/>
        <item x="15"/>
        <item x="84"/>
        <item x="14"/>
        <item x="100"/>
        <item x="67"/>
        <item x="118"/>
        <item x="86"/>
        <item x="71"/>
        <item x="124"/>
        <item x="92"/>
        <item x="40"/>
        <item x="96"/>
        <item x="61"/>
        <item x="94"/>
        <item x="19"/>
        <item x="54"/>
        <item x="110"/>
        <item x="9"/>
        <item x="83"/>
        <item x="62"/>
        <item x="35"/>
        <item x="2"/>
        <item x="95"/>
        <item x="28"/>
        <item x="91"/>
        <item x="101"/>
        <item x="55"/>
        <item x="57"/>
        <item x="50"/>
        <item x="30"/>
        <item x="102"/>
        <item x="53"/>
        <item x="36"/>
        <item x="105"/>
        <item x="90"/>
        <item x="114"/>
        <item x="65"/>
        <item x="123"/>
        <item x="13"/>
        <item x="26"/>
        <item x="22"/>
        <item x="75"/>
        <item x="37"/>
        <item x="77"/>
        <item x="88"/>
        <item x="66"/>
        <item x="51"/>
        <item x="5"/>
        <item x="24"/>
        <item x="34"/>
        <item x="70"/>
        <item x="46"/>
        <item x="10"/>
        <item x="108"/>
        <item x="27"/>
        <item x="112"/>
        <item x="98"/>
        <item x="47"/>
        <item x="74"/>
        <item x="87"/>
        <item x="56"/>
        <item x="81"/>
        <item x="72"/>
        <item x="49"/>
        <item x="115"/>
        <item x="117"/>
        <item x="68"/>
        <item x="109"/>
        <item x="25"/>
        <item x="107"/>
        <item x="106"/>
        <item x="29"/>
        <item x="78"/>
        <item x="76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ement" fld="5" baseField="0" baseItem="0" numFmtId="2"/>
    <dataField name="Sum of sand" fld="6" baseField="0" baseItem="0" numFmtId="2"/>
  </dataFields>
  <formats count="4">
    <format dxfId="3">
      <pivotArea collapsedLevelsAreSubtotals="1" fieldPosition="0">
        <references count="2">
          <reference field="4294967294" count="1" selected="0">
            <x v="1"/>
          </reference>
          <reference field="0" count="1">
            <x v="10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0" count="1">
            <x v="49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0" count="1">
            <x v="53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1"/>
          </reference>
          <reference field="0" count="1">
            <x v="8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B7A8D-8C57-47D2-B3DA-D14E98554B9A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19:Z24" firstHeaderRow="1" firstDataRow="1" firstDataCol="1" rowPageCount="1" colPageCount="1"/>
  <pivotFields count="3">
    <pivotField axis="axisPage" showAll="0">
      <items count="82">
        <item x="50"/>
        <item x="71"/>
        <item x="52"/>
        <item x="8"/>
        <item x="78"/>
        <item x="37"/>
        <item x="80"/>
        <item x="21"/>
        <item x="72"/>
        <item x="46"/>
        <item x="34"/>
        <item x="63"/>
        <item x="56"/>
        <item x="29"/>
        <item x="41"/>
        <item x="74"/>
        <item x="23"/>
        <item x="45"/>
        <item x="20"/>
        <item x="40"/>
        <item x="69"/>
        <item x="24"/>
        <item x="1"/>
        <item x="17"/>
        <item x="65"/>
        <item x="66"/>
        <item x="70"/>
        <item x="51"/>
        <item x="54"/>
        <item x="6"/>
        <item x="33"/>
        <item x="76"/>
        <item x="59"/>
        <item x="38"/>
        <item x="44"/>
        <item x="13"/>
        <item x="53"/>
        <item x="61"/>
        <item x="15"/>
        <item x="25"/>
        <item x="9"/>
        <item x="19"/>
        <item x="35"/>
        <item x="77"/>
        <item x="62"/>
        <item x="55"/>
        <item x="11"/>
        <item x="36"/>
        <item x="22"/>
        <item x="67"/>
        <item x="75"/>
        <item x="32"/>
        <item x="14"/>
        <item x="27"/>
        <item x="28"/>
        <item x="4"/>
        <item x="5"/>
        <item x="58"/>
        <item x="30"/>
        <item x="0"/>
        <item x="39"/>
        <item x="18"/>
        <item x="12"/>
        <item x="3"/>
        <item x="7"/>
        <item x="48"/>
        <item x="68"/>
        <item x="73"/>
        <item x="79"/>
        <item x="47"/>
        <item x="60"/>
        <item x="2"/>
        <item x="10"/>
        <item x="49"/>
        <item x="64"/>
        <item x="43"/>
        <item x="26"/>
        <item x="31"/>
        <item x="42"/>
        <item x="16"/>
        <item x="57"/>
        <item t="default"/>
      </items>
    </pivotField>
    <pivotField numFmtId="165" showAll="0"/>
    <pivotField axis="axisRow" dataField="1" showAll="0">
      <items count="5">
        <item x="3"/>
        <item x="0"/>
        <item x="2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Count of Segment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B05CD-BB2A-4B14-9587-184BBB74E8C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83" firstHeaderRow="0" firstDataRow="1" firstDataCol="1"/>
  <pivotFields count="9">
    <pivotField dataField="1" numFmtId="14" showAll="0"/>
    <pivotField showAll="0"/>
    <pivotField showAll="0"/>
    <pivotField showAll="0"/>
    <pivotField axis="axisRow" dataField="1" showAll="0" sortType="ascending">
      <items count="82">
        <item x="39"/>
        <item x="8"/>
        <item x="72"/>
        <item x="57"/>
        <item x="71"/>
        <item x="51"/>
        <item x="34"/>
        <item x="46"/>
        <item x="66"/>
        <item x="33"/>
        <item x="1"/>
        <item x="13"/>
        <item x="22"/>
        <item x="2"/>
        <item x="76"/>
        <item x="43"/>
        <item x="44"/>
        <item x="17"/>
        <item x="42"/>
        <item x="58"/>
        <item x="53"/>
        <item x="69"/>
        <item x="55"/>
        <item x="41"/>
        <item x="75"/>
        <item x="54"/>
        <item x="27"/>
        <item x="70"/>
        <item x="73"/>
        <item x="78"/>
        <item x="12"/>
        <item x="40"/>
        <item x="23"/>
        <item x="18"/>
        <item x="47"/>
        <item x="59"/>
        <item x="3"/>
        <item x="68"/>
        <item x="37"/>
        <item x="62"/>
        <item x="52"/>
        <item x="7"/>
        <item x="67"/>
        <item x="32"/>
        <item x="16"/>
        <item x="14"/>
        <item x="38"/>
        <item x="20"/>
        <item x="79"/>
        <item x="19"/>
        <item x="65"/>
        <item x="80"/>
        <item x="48"/>
        <item x="60"/>
        <item x="31"/>
        <item x="15"/>
        <item x="6"/>
        <item x="63"/>
        <item x="26"/>
        <item x="50"/>
        <item x="74"/>
        <item x="77"/>
        <item x="35"/>
        <item x="5"/>
        <item x="28"/>
        <item x="29"/>
        <item x="10"/>
        <item x="64"/>
        <item x="11"/>
        <item x="24"/>
        <item x="30"/>
        <item x="56"/>
        <item x="61"/>
        <item x="21"/>
        <item x="36"/>
        <item x="49"/>
        <item x="0"/>
        <item x="25"/>
        <item x="9"/>
        <item x="4"/>
        <item x="45"/>
        <item t="default"/>
      </items>
    </pivotField>
    <pivotField numFmtId="2" showAll="0"/>
    <pivotField numFmtId="2" showAll="0"/>
    <pivotField dataField="1" numFmtId="2" showAll="0"/>
    <pivotField dataField="1" numFmtId="2" showAll="0"/>
  </pivotFields>
  <rowFields count="1">
    <field x="4"/>
  </rowFields>
  <rowItems count="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x of Date" fld="0" subtotal="max" baseField="4" baseItem="0" numFmtId="14"/>
    <dataField name="Frequency" fld="4" subtotal="count" baseField="4" baseItem="0"/>
    <dataField name="Sum of Total Quantity" fld="8" baseField="0" baseItem="0" numFmtId="2"/>
    <dataField name="Sum of Revenue" fld="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CF1BA-C5FA-46FB-B385-CE6EFE388FC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9" firstHeaderRow="1" firstDataRow="1" firstDataCol="1" rowPageCount="1" colPageCount="1"/>
  <pivotFields count="8">
    <pivotField showAll="0"/>
    <pivotField numFmtId="164" showAll="0"/>
    <pivotField numFmtId="164" showAll="0"/>
    <pivotField showAll="0"/>
    <pivotField axis="axisPage" numFmtId="164" showAll="0">
      <items count="30">
        <item x="27"/>
        <item x="26"/>
        <item x="21"/>
        <item x="22"/>
        <item x="23"/>
        <item x="25"/>
        <item x="24"/>
        <item x="20"/>
        <item x="28"/>
        <item x="0"/>
        <item x="14"/>
        <item x="6"/>
        <item x="15"/>
        <item x="5"/>
        <item x="9"/>
        <item x="3"/>
        <item x="8"/>
        <item x="19"/>
        <item x="2"/>
        <item x="1"/>
        <item x="4"/>
        <item x="11"/>
        <item x="16"/>
        <item x="10"/>
        <item x="18"/>
        <item x="17"/>
        <item x="12"/>
        <item x="7"/>
        <item x="13"/>
        <item t="default"/>
      </items>
    </pivotField>
    <pivotField dataField="1"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4" hier="-1"/>
  </pageFields>
  <dataFields count="1">
    <dataField name="Average of minutes" fld="5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139D3-E8A5-4B82-834D-C68A55EABE82}">
  <dimension ref="A1:X330"/>
  <sheetViews>
    <sheetView tabSelected="1" zoomScale="94" workbookViewId="0">
      <selection activeCell="K2" sqref="K2"/>
    </sheetView>
  </sheetViews>
  <sheetFormatPr defaultRowHeight="14.4" x14ac:dyDescent="0.3"/>
  <cols>
    <col min="1" max="1" width="15.33203125" customWidth="1"/>
    <col min="13" max="13" width="12.5546875" bestFit="1" customWidth="1"/>
    <col min="14" max="14" width="13.88671875" bestFit="1" customWidth="1"/>
    <col min="15" max="15" width="11.44140625" bestFit="1" customWidth="1"/>
    <col min="16" max="16" width="11.44140625" customWidth="1"/>
    <col min="17" max="17" width="13.21875" customWidth="1"/>
    <col min="18" max="19" width="13" customWidth="1"/>
    <col min="20" max="20" width="10.88671875" customWidth="1"/>
    <col min="21" max="21" width="8.5546875" customWidth="1"/>
    <col min="22" max="22" width="13.33203125" customWidth="1"/>
    <col min="23" max="23" width="10.21875" customWidth="1"/>
    <col min="24" max="24" width="9.44140625" customWidth="1"/>
    <col min="25" max="36" width="4.5546875" bestFit="1" customWidth="1"/>
    <col min="37" max="37" width="5.5546875" bestFit="1" customWidth="1"/>
    <col min="38" max="51" width="4.5546875" bestFit="1" customWidth="1"/>
    <col min="52" max="52" width="5.5546875" bestFit="1" customWidth="1"/>
    <col min="53" max="53" width="4.5546875" bestFit="1" customWidth="1"/>
    <col min="54" max="54" width="5.5546875" bestFit="1" customWidth="1"/>
    <col min="55" max="55" width="4.5546875" bestFit="1" customWidth="1"/>
    <col min="56" max="56" width="5.5546875" bestFit="1" customWidth="1"/>
    <col min="57" max="57" width="4.5546875" bestFit="1" customWidth="1"/>
    <col min="58" max="58" width="5.5546875" bestFit="1" customWidth="1"/>
    <col min="59" max="69" width="4.5546875" bestFit="1" customWidth="1"/>
    <col min="70" max="70" width="5.5546875" bestFit="1" customWidth="1"/>
    <col min="71" max="77" width="4.5546875" bestFit="1" customWidth="1"/>
    <col min="78" max="78" width="5.5546875" bestFit="1" customWidth="1"/>
    <col min="79" max="81" width="4.5546875" bestFit="1" customWidth="1"/>
    <col min="82" max="82" width="5.5546875" bestFit="1" customWidth="1"/>
    <col min="83" max="84" width="4.5546875" bestFit="1" customWidth="1"/>
    <col min="85" max="85" width="5.5546875" bestFit="1" customWidth="1"/>
    <col min="86" max="87" width="4.5546875" bestFit="1" customWidth="1"/>
    <col min="88" max="88" width="5.5546875" bestFit="1" customWidth="1"/>
    <col min="89" max="89" width="4.5546875" bestFit="1" customWidth="1"/>
    <col min="90" max="139" width="5.5546875" bestFit="1" customWidth="1"/>
    <col min="140" max="141" width="6.5546875" bestFit="1" customWidth="1"/>
    <col min="142" max="142" width="10.77734375" bestFit="1" customWidth="1"/>
    <col min="143" max="143" width="4.5546875" bestFit="1" customWidth="1"/>
    <col min="144" max="144" width="9.21875" bestFit="1" customWidth="1"/>
    <col min="145" max="145" width="4.5546875" bestFit="1" customWidth="1"/>
    <col min="146" max="146" width="9.21875" bestFit="1" customWidth="1"/>
    <col min="147" max="147" width="5.5546875" bestFit="1" customWidth="1"/>
    <col min="148" max="148" width="9.21875" bestFit="1" customWidth="1"/>
    <col min="149" max="149" width="4.5546875" bestFit="1" customWidth="1"/>
    <col min="150" max="150" width="9.21875" bestFit="1" customWidth="1"/>
    <col min="151" max="151" width="4.5546875" bestFit="1" customWidth="1"/>
    <col min="152" max="152" width="9.21875" bestFit="1" customWidth="1"/>
    <col min="153" max="153" width="4.5546875" bestFit="1" customWidth="1"/>
    <col min="154" max="154" width="9.21875" bestFit="1" customWidth="1"/>
    <col min="155" max="155" width="4.5546875" bestFit="1" customWidth="1"/>
    <col min="156" max="156" width="9.21875" bestFit="1" customWidth="1"/>
    <col min="157" max="157" width="4.5546875" bestFit="1" customWidth="1"/>
    <col min="158" max="158" width="9.21875" bestFit="1" customWidth="1"/>
    <col min="159" max="159" width="4.5546875" bestFit="1" customWidth="1"/>
    <col min="160" max="160" width="9.21875" bestFit="1" customWidth="1"/>
    <col min="161" max="161" width="4.5546875" bestFit="1" customWidth="1"/>
    <col min="162" max="162" width="9.21875" bestFit="1" customWidth="1"/>
    <col min="163" max="163" width="5.5546875" bestFit="1" customWidth="1"/>
    <col min="164" max="164" width="9.21875" bestFit="1" customWidth="1"/>
    <col min="165" max="165" width="5.5546875" bestFit="1" customWidth="1"/>
    <col min="166" max="166" width="9.21875" bestFit="1" customWidth="1"/>
    <col min="167" max="167" width="5.5546875" bestFit="1" customWidth="1"/>
    <col min="168" max="168" width="9.21875" bestFit="1" customWidth="1"/>
    <col min="169" max="169" width="5.5546875" bestFit="1" customWidth="1"/>
    <col min="170" max="170" width="9.21875" bestFit="1" customWidth="1"/>
    <col min="171" max="171" width="5.5546875" bestFit="1" customWidth="1"/>
    <col min="172" max="172" width="9.21875" bestFit="1" customWidth="1"/>
    <col min="173" max="173" width="4.5546875" bestFit="1" customWidth="1"/>
    <col min="174" max="174" width="9.21875" bestFit="1" customWidth="1"/>
    <col min="175" max="175" width="5.5546875" bestFit="1" customWidth="1"/>
    <col min="176" max="176" width="9.21875" bestFit="1" customWidth="1"/>
    <col min="177" max="177" width="4.5546875" bestFit="1" customWidth="1"/>
    <col min="178" max="178" width="9.21875" bestFit="1" customWidth="1"/>
    <col min="179" max="179" width="5.5546875" bestFit="1" customWidth="1"/>
    <col min="180" max="180" width="9.21875" bestFit="1" customWidth="1"/>
    <col min="181" max="181" width="4.5546875" bestFit="1" customWidth="1"/>
    <col min="182" max="182" width="9.21875" bestFit="1" customWidth="1"/>
    <col min="183" max="183" width="5.5546875" bestFit="1" customWidth="1"/>
    <col min="184" max="184" width="9.21875" bestFit="1" customWidth="1"/>
    <col min="185" max="185" width="5.5546875" bestFit="1" customWidth="1"/>
    <col min="186" max="186" width="9.21875" bestFit="1" customWidth="1"/>
    <col min="187" max="187" width="5.5546875" bestFit="1" customWidth="1"/>
    <col min="188" max="188" width="9.21875" bestFit="1" customWidth="1"/>
    <col min="189" max="189" width="5.5546875" bestFit="1" customWidth="1"/>
    <col min="190" max="190" width="9.21875" bestFit="1" customWidth="1"/>
    <col min="191" max="191" width="5.5546875" bestFit="1" customWidth="1"/>
    <col min="192" max="192" width="9.21875" bestFit="1" customWidth="1"/>
    <col min="193" max="193" width="5.5546875" bestFit="1" customWidth="1"/>
    <col min="194" max="194" width="9.21875" bestFit="1" customWidth="1"/>
    <col min="195" max="195" width="5.5546875" bestFit="1" customWidth="1"/>
    <col min="196" max="196" width="9.21875" bestFit="1" customWidth="1"/>
    <col min="197" max="197" width="5.5546875" bestFit="1" customWidth="1"/>
    <col min="198" max="198" width="9.21875" bestFit="1" customWidth="1"/>
    <col min="199" max="199" width="5.5546875" bestFit="1" customWidth="1"/>
    <col min="200" max="200" width="9.21875" bestFit="1" customWidth="1"/>
    <col min="201" max="201" width="5.5546875" bestFit="1" customWidth="1"/>
    <col min="202" max="202" width="9.21875" bestFit="1" customWidth="1"/>
    <col min="203" max="203" width="5.5546875" bestFit="1" customWidth="1"/>
    <col min="204" max="204" width="9.21875" bestFit="1" customWidth="1"/>
    <col min="205" max="205" width="5.5546875" bestFit="1" customWidth="1"/>
    <col min="206" max="206" width="9.21875" bestFit="1" customWidth="1"/>
    <col min="207" max="207" width="5.5546875" bestFit="1" customWidth="1"/>
    <col min="208" max="208" width="9.21875" bestFit="1" customWidth="1"/>
    <col min="209" max="209" width="5.5546875" bestFit="1" customWidth="1"/>
    <col min="210" max="210" width="9.21875" bestFit="1" customWidth="1"/>
    <col min="211" max="211" width="5.5546875" bestFit="1" customWidth="1"/>
    <col min="212" max="212" width="9.21875" bestFit="1" customWidth="1"/>
    <col min="213" max="213" width="5.5546875" bestFit="1" customWidth="1"/>
    <col min="214" max="214" width="9.21875" bestFit="1" customWidth="1"/>
    <col min="215" max="215" width="5.5546875" bestFit="1" customWidth="1"/>
    <col min="216" max="216" width="9.21875" bestFit="1" customWidth="1"/>
    <col min="217" max="217" width="5.5546875" bestFit="1" customWidth="1"/>
    <col min="218" max="218" width="9.21875" bestFit="1" customWidth="1"/>
    <col min="219" max="219" width="5.5546875" bestFit="1" customWidth="1"/>
    <col min="220" max="220" width="9.21875" bestFit="1" customWidth="1"/>
    <col min="221" max="221" width="5.5546875" bestFit="1" customWidth="1"/>
    <col min="222" max="222" width="9.21875" bestFit="1" customWidth="1"/>
    <col min="223" max="223" width="5.5546875" bestFit="1" customWidth="1"/>
    <col min="224" max="224" width="9.21875" bestFit="1" customWidth="1"/>
    <col min="225" max="225" width="5.5546875" bestFit="1" customWidth="1"/>
    <col min="226" max="226" width="9.21875" bestFit="1" customWidth="1"/>
    <col min="227" max="227" width="5.5546875" bestFit="1" customWidth="1"/>
    <col min="228" max="228" width="9.21875" bestFit="1" customWidth="1"/>
    <col min="229" max="229" width="5.5546875" bestFit="1" customWidth="1"/>
    <col min="230" max="230" width="9.21875" bestFit="1" customWidth="1"/>
    <col min="231" max="231" width="5.5546875" bestFit="1" customWidth="1"/>
    <col min="232" max="232" width="10.21875" bestFit="1" customWidth="1"/>
    <col min="233" max="233" width="5.5546875" bestFit="1" customWidth="1"/>
    <col min="234" max="234" width="10.21875" bestFit="1" customWidth="1"/>
    <col min="235" max="235" width="5.5546875" bestFit="1" customWidth="1"/>
    <col min="236" max="236" width="10.21875" bestFit="1" customWidth="1"/>
    <col min="237" max="237" width="5.5546875" bestFit="1" customWidth="1"/>
    <col min="238" max="238" width="10.21875" bestFit="1" customWidth="1"/>
    <col min="239" max="239" width="5.5546875" bestFit="1" customWidth="1"/>
    <col min="240" max="240" width="10.21875" bestFit="1" customWidth="1"/>
    <col min="241" max="241" width="5.5546875" bestFit="1" customWidth="1"/>
    <col min="242" max="242" width="10.21875" bestFit="1" customWidth="1"/>
    <col min="243" max="243" width="5.5546875" bestFit="1" customWidth="1"/>
    <col min="244" max="244" width="10.21875" bestFit="1" customWidth="1"/>
    <col min="245" max="245" width="5.5546875" bestFit="1" customWidth="1"/>
    <col min="246" max="246" width="10.21875" bestFit="1" customWidth="1"/>
    <col min="247" max="247" width="5.5546875" bestFit="1" customWidth="1"/>
    <col min="248" max="248" width="10.21875" bestFit="1" customWidth="1"/>
    <col min="249" max="249" width="5.5546875" bestFit="1" customWidth="1"/>
    <col min="250" max="250" width="10.21875" bestFit="1" customWidth="1"/>
    <col min="251" max="251" width="5.5546875" bestFit="1" customWidth="1"/>
    <col min="252" max="252" width="10.21875" bestFit="1" customWidth="1"/>
    <col min="253" max="253" width="5.5546875" bestFit="1" customWidth="1"/>
    <col min="254" max="254" width="10.21875" bestFit="1" customWidth="1"/>
    <col min="255" max="255" width="5.5546875" bestFit="1" customWidth="1"/>
    <col min="256" max="256" width="10.21875" bestFit="1" customWidth="1"/>
    <col min="257" max="257" width="5.5546875" bestFit="1" customWidth="1"/>
    <col min="258" max="258" width="10.21875" bestFit="1" customWidth="1"/>
    <col min="259" max="259" width="5.5546875" bestFit="1" customWidth="1"/>
    <col min="260" max="260" width="10.21875" bestFit="1" customWidth="1"/>
    <col min="261" max="261" width="5.5546875" bestFit="1" customWidth="1"/>
    <col min="262" max="262" width="10.21875" bestFit="1" customWidth="1"/>
    <col min="263" max="263" width="5.5546875" bestFit="1" customWidth="1"/>
    <col min="264" max="264" width="10.21875" bestFit="1" customWidth="1"/>
    <col min="265" max="265" width="6.5546875" bestFit="1" customWidth="1"/>
    <col min="266" max="266" width="10.21875" bestFit="1" customWidth="1"/>
    <col min="267" max="267" width="6.5546875" bestFit="1" customWidth="1"/>
    <col min="268" max="268" width="10.21875" bestFit="1" customWidth="1"/>
    <col min="269" max="269" width="10.77734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172</v>
      </c>
      <c r="F1" s="1" t="s">
        <v>97</v>
      </c>
      <c r="G1" s="1" t="s">
        <v>98</v>
      </c>
      <c r="H1" s="1" t="s">
        <v>135</v>
      </c>
      <c r="I1" s="1" t="s">
        <v>137</v>
      </c>
      <c r="J1" s="1"/>
      <c r="M1" s="8" t="s">
        <v>100</v>
      </c>
      <c r="N1" t="s">
        <v>101</v>
      </c>
      <c r="O1" t="s">
        <v>102</v>
      </c>
      <c r="Q1" t="s">
        <v>108</v>
      </c>
      <c r="T1" t="s">
        <v>110</v>
      </c>
      <c r="U1" t="s">
        <v>108</v>
      </c>
      <c r="V1" t="s">
        <v>112</v>
      </c>
      <c r="W1" t="s">
        <v>111</v>
      </c>
      <c r="X1" t="s">
        <v>114</v>
      </c>
    </row>
    <row r="2" spans="1:24" x14ac:dyDescent="0.3">
      <c r="A2" s="2">
        <v>45689</v>
      </c>
      <c r="B2" t="s">
        <v>4</v>
      </c>
      <c r="C2" s="3">
        <v>3.5</v>
      </c>
      <c r="D2" s="3">
        <v>1</v>
      </c>
      <c r="E2" s="3" t="s">
        <v>251</v>
      </c>
      <c r="F2" s="7">
        <f>VLOOKUP(Prediction!B2,Data!$A$1:$F$7,2,)*C2*D2/1000</f>
        <v>0.80500000000000005</v>
      </c>
      <c r="G2" s="7">
        <f>VLOOKUP(B2,Data!$A$1:$F$7,4,FALSE)*C2*D2/1000</f>
        <v>2.3519999999999999</v>
      </c>
      <c r="H2" s="7">
        <f>VLOOKUP(B2,Data!$A$1:$G$7,7,FALSE)*C2</f>
        <v>17500</v>
      </c>
      <c r="I2" s="7">
        <f t="shared" ref="I2:I33" si="0">C2*D2</f>
        <v>3.5</v>
      </c>
      <c r="J2" s="7"/>
      <c r="L2">
        <v>1</v>
      </c>
      <c r="M2" s="9">
        <v>45689</v>
      </c>
      <c r="N2" s="7">
        <v>1.38</v>
      </c>
      <c r="O2" s="7">
        <v>4.032</v>
      </c>
      <c r="P2" s="7" t="s">
        <v>113</v>
      </c>
      <c r="Q2" t="s">
        <v>103</v>
      </c>
      <c r="R2">
        <f>_xlfn.QUARTILE.EXC(N2:N98,1)</f>
        <v>6.82</v>
      </c>
      <c r="T2">
        <v>1</v>
      </c>
      <c r="U2" s="7">
        <v>1.38</v>
      </c>
      <c r="V2" s="7">
        <f>U2</f>
        <v>1.38</v>
      </c>
      <c r="W2" s="7">
        <v>4.032</v>
      </c>
      <c r="X2" s="7">
        <f>W2</f>
        <v>4.032</v>
      </c>
    </row>
    <row r="3" spans="1:24" x14ac:dyDescent="0.3">
      <c r="A3" s="2">
        <v>45689</v>
      </c>
      <c r="B3" t="s">
        <v>4</v>
      </c>
      <c r="C3" s="3">
        <v>2.5</v>
      </c>
      <c r="D3" s="3">
        <v>1</v>
      </c>
      <c r="E3" s="3" t="s">
        <v>251</v>
      </c>
      <c r="F3" s="7">
        <f>VLOOKUP(Prediction!B3,Data!$A$1:$F$7,2,)*C3*D3/1000</f>
        <v>0.57499999999999996</v>
      </c>
      <c r="G3" s="7">
        <f>VLOOKUP(B3,Data!$A$1:$F$7,4,FALSE)*C3*D3/1000</f>
        <v>1.68</v>
      </c>
      <c r="H3" s="7">
        <f>VLOOKUP(B3,Data!$A$1:$G$7,7,FALSE)*C3</f>
        <v>12500</v>
      </c>
      <c r="I3" s="7">
        <f t="shared" si="0"/>
        <v>2.5</v>
      </c>
      <c r="J3" s="7"/>
      <c r="L3">
        <f>L2+1</f>
        <v>2</v>
      </c>
      <c r="M3" s="9">
        <v>45690</v>
      </c>
      <c r="N3" s="7">
        <v>3.335</v>
      </c>
      <c r="O3" s="7">
        <v>9.7439999999999998</v>
      </c>
      <c r="P3" s="7"/>
      <c r="Q3" t="s">
        <v>104</v>
      </c>
      <c r="R3">
        <f>_xlfn.QUARTILE.EXC(N2:N98,3)</f>
        <v>18.720000000000002</v>
      </c>
      <c r="T3">
        <f>T2+1</f>
        <v>2</v>
      </c>
      <c r="U3" s="7">
        <v>3.335</v>
      </c>
      <c r="V3" s="7">
        <f>AVERAGE(U2:U3)</f>
        <v>2.3574999999999999</v>
      </c>
      <c r="W3" s="7">
        <v>9.7439999999999998</v>
      </c>
      <c r="X3" s="7">
        <f>AVERAGE(W2:W3)</f>
        <v>6.8879999999999999</v>
      </c>
    </row>
    <row r="4" spans="1:24" x14ac:dyDescent="0.3">
      <c r="A4" s="2">
        <v>45690</v>
      </c>
      <c r="B4" t="s">
        <v>4</v>
      </c>
      <c r="C4" s="3">
        <v>7.25</v>
      </c>
      <c r="D4" s="3">
        <v>2</v>
      </c>
      <c r="E4" s="3" t="s">
        <v>191</v>
      </c>
      <c r="F4" s="7">
        <f>VLOOKUP(Prediction!B4,Data!$A$1:$F$7,2,)*C4*D4/1000</f>
        <v>3.335</v>
      </c>
      <c r="G4" s="7">
        <f>VLOOKUP(B4,Data!$A$1:$F$7,4,FALSE)*C4*D4/1000</f>
        <v>9.7439999999999998</v>
      </c>
      <c r="H4" s="7">
        <f>VLOOKUP(B4,Data!$A$1:$G$7,7,FALSE)*C4</f>
        <v>36250</v>
      </c>
      <c r="I4" s="7">
        <f t="shared" si="0"/>
        <v>14.5</v>
      </c>
      <c r="J4" s="7"/>
      <c r="L4">
        <f t="shared" ref="L4:L67" si="1">L3+1</f>
        <v>3</v>
      </c>
      <c r="M4" s="9">
        <v>45692</v>
      </c>
      <c r="N4" s="7">
        <v>14.785</v>
      </c>
      <c r="O4" s="7">
        <v>32.432000000000002</v>
      </c>
      <c r="P4" s="7"/>
      <c r="Q4" t="s">
        <v>105</v>
      </c>
      <c r="R4">
        <f>R3-R2</f>
        <v>11.900000000000002</v>
      </c>
      <c r="T4">
        <f t="shared" ref="T4:T67" si="2">T3+1</f>
        <v>3</v>
      </c>
      <c r="U4" s="7">
        <v>14.785</v>
      </c>
      <c r="V4" s="7">
        <f>AVERAGE(U2:U4)</f>
        <v>6.5</v>
      </c>
      <c r="W4" s="7">
        <v>32.432000000000002</v>
      </c>
      <c r="X4" s="7">
        <f>AVERAGE(W2:W4)</f>
        <v>15.402666666666667</v>
      </c>
    </row>
    <row r="5" spans="1:24" x14ac:dyDescent="0.3">
      <c r="A5" s="2">
        <v>45692</v>
      </c>
      <c r="B5" t="s">
        <v>7</v>
      </c>
      <c r="C5" s="3">
        <v>5.5</v>
      </c>
      <c r="D5" s="3">
        <v>1</v>
      </c>
      <c r="E5" s="3" t="s">
        <v>193</v>
      </c>
      <c r="F5" s="7">
        <f>VLOOKUP(Prediction!B5,Data!$A$1:$F$7,2,)*C5*D5/1000</f>
        <v>1.375</v>
      </c>
      <c r="G5" s="7">
        <f>VLOOKUP(B5,Data!$A$1:$F$7,4,FALSE)*C5*D5/1000</f>
        <v>4.4880000000000004</v>
      </c>
      <c r="H5" s="7">
        <f>VLOOKUP(B5,Data!$A$1:$G$7,7,FALSE)*C5</f>
        <v>28600</v>
      </c>
      <c r="I5" s="7">
        <f t="shared" si="0"/>
        <v>5.5</v>
      </c>
      <c r="J5" s="7"/>
      <c r="L5">
        <f t="shared" si="1"/>
        <v>4</v>
      </c>
      <c r="M5" s="9">
        <v>45693</v>
      </c>
      <c r="N5" s="7">
        <v>24.709999999999997</v>
      </c>
      <c r="O5" s="7">
        <v>50.71</v>
      </c>
      <c r="P5" s="7"/>
      <c r="Q5" t="s">
        <v>106</v>
      </c>
      <c r="R5">
        <f>R2-1.5*R4</f>
        <v>-11.030000000000001</v>
      </c>
      <c r="T5">
        <f t="shared" si="2"/>
        <v>4</v>
      </c>
      <c r="U5" s="7">
        <v>24.709999999999997</v>
      </c>
      <c r="V5" s="7">
        <f>AVERAGE(U2:U5)</f>
        <v>11.052499999999998</v>
      </c>
      <c r="W5" s="7">
        <v>50.71</v>
      </c>
      <c r="X5" s="7">
        <f>AVERAGE(W2:W5)</f>
        <v>24.229500000000002</v>
      </c>
    </row>
    <row r="6" spans="1:24" x14ac:dyDescent="0.3">
      <c r="A6" s="2">
        <v>45692</v>
      </c>
      <c r="B6" t="s">
        <v>7</v>
      </c>
      <c r="C6" s="3">
        <v>5</v>
      </c>
      <c r="D6" s="3">
        <v>1</v>
      </c>
      <c r="E6" s="3" t="s">
        <v>193</v>
      </c>
      <c r="F6" s="7">
        <f>VLOOKUP(Prediction!B6,Data!$A$1:$F$7,2,)*C6*D6/1000</f>
        <v>1.25</v>
      </c>
      <c r="G6" s="7">
        <f>VLOOKUP(B6,Data!$A$1:$F$7,4,FALSE)*C6*D6/1000</f>
        <v>4.08</v>
      </c>
      <c r="H6" s="7">
        <f>VLOOKUP(B6,Data!$A$1:$G$7,7,FALSE)*C6</f>
        <v>26000</v>
      </c>
      <c r="I6" s="7">
        <f t="shared" si="0"/>
        <v>5</v>
      </c>
      <c r="J6" s="7"/>
      <c r="L6">
        <f t="shared" si="1"/>
        <v>5</v>
      </c>
      <c r="M6" s="9">
        <v>45696</v>
      </c>
      <c r="N6" s="7">
        <v>26.64</v>
      </c>
      <c r="O6" s="7">
        <v>62.137</v>
      </c>
      <c r="P6" s="7"/>
      <c r="Q6" t="s">
        <v>107</v>
      </c>
      <c r="R6">
        <f>R3+1.5*R4</f>
        <v>36.570000000000007</v>
      </c>
      <c r="T6">
        <f t="shared" si="2"/>
        <v>5</v>
      </c>
      <c r="U6" s="7">
        <v>26.64</v>
      </c>
      <c r="V6" s="7">
        <f>AVERAGE(U2:U6)</f>
        <v>14.169999999999998</v>
      </c>
      <c r="W6" s="7">
        <v>62.137</v>
      </c>
      <c r="X6" s="7">
        <f>AVERAGE(W2:W6)</f>
        <v>31.811</v>
      </c>
    </row>
    <row r="7" spans="1:24" x14ac:dyDescent="0.3">
      <c r="A7" s="2">
        <v>45692</v>
      </c>
      <c r="B7" t="s">
        <v>9</v>
      </c>
      <c r="C7" s="3">
        <v>7</v>
      </c>
      <c r="D7" s="3">
        <v>5</v>
      </c>
      <c r="E7" s="3" t="s">
        <v>214</v>
      </c>
      <c r="F7" s="7">
        <f>VLOOKUP(Prediction!B7,Data!$A$1:$F$7,2,)*C7*D7/1000</f>
        <v>11.2</v>
      </c>
      <c r="G7" s="7">
        <f>VLOOKUP(B7,Data!$A$1:$F$7,4,FALSE)*C7*D7/1000</f>
        <v>21.98</v>
      </c>
      <c r="H7" s="7">
        <f>VLOOKUP(B7,Data!$A$1:$G$7,7,FALSE)*C7</f>
        <v>32900</v>
      </c>
      <c r="I7" s="7">
        <f t="shared" si="0"/>
        <v>35</v>
      </c>
      <c r="J7" s="7"/>
      <c r="L7">
        <f t="shared" si="1"/>
        <v>6</v>
      </c>
      <c r="M7" s="9">
        <v>45697</v>
      </c>
      <c r="N7" s="7">
        <v>24.01</v>
      </c>
      <c r="O7" s="7">
        <v>54.201000000000008</v>
      </c>
      <c r="P7" s="7"/>
      <c r="T7">
        <f t="shared" si="2"/>
        <v>6</v>
      </c>
      <c r="U7" s="7">
        <v>24.01</v>
      </c>
      <c r="V7" s="7">
        <f>AVERAGE(U2:U7)</f>
        <v>15.81</v>
      </c>
      <c r="W7" s="7">
        <v>54.201000000000008</v>
      </c>
      <c r="X7" s="7">
        <f>AVERAGE(W2:W7)</f>
        <v>35.542666666666669</v>
      </c>
    </row>
    <row r="8" spans="1:24" x14ac:dyDescent="0.3">
      <c r="A8" s="2">
        <v>45692</v>
      </c>
      <c r="B8" t="s">
        <v>9</v>
      </c>
      <c r="C8" s="3">
        <v>3</v>
      </c>
      <c r="D8" s="3">
        <v>1</v>
      </c>
      <c r="E8" s="3" t="s">
        <v>214</v>
      </c>
      <c r="F8" s="7">
        <f>VLOOKUP(Prediction!B8,Data!$A$1:$F$7,2,)*C8*D8/1000</f>
        <v>0.96</v>
      </c>
      <c r="G8" s="7">
        <f>VLOOKUP(B8,Data!$A$1:$F$7,4,FALSE)*C8*D8/1000</f>
        <v>1.8839999999999999</v>
      </c>
      <c r="H8" s="7">
        <f>VLOOKUP(B8,Data!$A$1:$G$7,7,FALSE)*C8</f>
        <v>14100</v>
      </c>
      <c r="I8" s="7">
        <f t="shared" si="0"/>
        <v>3</v>
      </c>
      <c r="J8" s="7"/>
      <c r="L8">
        <f t="shared" si="1"/>
        <v>7</v>
      </c>
      <c r="M8" s="9">
        <v>45698</v>
      </c>
      <c r="N8" s="7">
        <v>11.030000000000001</v>
      </c>
      <c r="O8" s="7">
        <v>23.631999999999998</v>
      </c>
      <c r="P8" s="7"/>
      <c r="Q8" t="s">
        <v>98</v>
      </c>
      <c r="T8">
        <f t="shared" si="2"/>
        <v>7</v>
      </c>
      <c r="U8" s="7">
        <v>11.030000000000001</v>
      </c>
      <c r="V8" s="7">
        <f>AVERAGE(U2:U8)</f>
        <v>15.127142857142857</v>
      </c>
      <c r="W8" s="7">
        <v>23.631999999999998</v>
      </c>
      <c r="X8" s="7">
        <f>AVERAGE(W2:W8)</f>
        <v>33.841142857142863</v>
      </c>
    </row>
    <row r="9" spans="1:24" x14ac:dyDescent="0.3">
      <c r="A9" s="2">
        <v>45693</v>
      </c>
      <c r="B9" t="s">
        <v>9</v>
      </c>
      <c r="C9" s="3">
        <v>7</v>
      </c>
      <c r="D9" s="3">
        <v>5</v>
      </c>
      <c r="E9" s="3" t="s">
        <v>253</v>
      </c>
      <c r="F9" s="7">
        <f>VLOOKUP(Prediction!B9,Data!$A$1:$F$7,2,)*C9*D9/1000</f>
        <v>11.2</v>
      </c>
      <c r="G9" s="7">
        <f>VLOOKUP(B9,Data!$A$1:$F$7,4,FALSE)*C9*D9/1000</f>
        <v>21.98</v>
      </c>
      <c r="H9" s="7">
        <f>VLOOKUP(B9,Data!$A$1:$G$7,7,FALSE)*C9</f>
        <v>32900</v>
      </c>
      <c r="I9" s="7">
        <f t="shared" si="0"/>
        <v>35</v>
      </c>
      <c r="J9" s="7"/>
      <c r="L9">
        <f t="shared" si="1"/>
        <v>8</v>
      </c>
      <c r="M9" s="9">
        <v>45699</v>
      </c>
      <c r="N9" s="7">
        <v>9.24</v>
      </c>
      <c r="O9" s="7">
        <v>27.244</v>
      </c>
      <c r="P9" s="7"/>
      <c r="Q9" t="s">
        <v>103</v>
      </c>
      <c r="R9">
        <f>_xlfn.QUARTILE.EXC(O2:O98,1)</f>
        <v>16.128</v>
      </c>
      <c r="T9">
        <f t="shared" si="2"/>
        <v>8</v>
      </c>
      <c r="U9" s="7">
        <v>9.24</v>
      </c>
      <c r="V9" s="7">
        <f t="shared" ref="V9:V72" si="3">AVERAGE(U3:U9)</f>
        <v>16.25</v>
      </c>
      <c r="W9" s="7">
        <v>27.244</v>
      </c>
      <c r="X9" s="7">
        <f t="shared" ref="X9:X72" si="4">AVERAGE(W3:W9)</f>
        <v>37.157142857142858</v>
      </c>
    </row>
    <row r="10" spans="1:24" x14ac:dyDescent="0.3">
      <c r="A10" s="2">
        <v>45693</v>
      </c>
      <c r="B10" t="s">
        <v>7</v>
      </c>
      <c r="C10" s="3">
        <v>3</v>
      </c>
      <c r="D10" s="3">
        <v>1</v>
      </c>
      <c r="E10" s="3" t="s">
        <v>253</v>
      </c>
      <c r="F10" s="7">
        <f>VLOOKUP(Prediction!B10,Data!$A$1:$F$7,2,)*C10*D10/1000</f>
        <v>0.75</v>
      </c>
      <c r="G10" s="7">
        <f>VLOOKUP(B10,Data!$A$1:$F$7,4,FALSE)*C10*D10/1000</f>
        <v>2.448</v>
      </c>
      <c r="H10" s="7">
        <f>VLOOKUP(B10,Data!$A$1:$G$7,7,FALSE)*C10</f>
        <v>15600</v>
      </c>
      <c r="I10" s="7">
        <f t="shared" si="0"/>
        <v>3</v>
      </c>
      <c r="J10" s="7"/>
      <c r="L10">
        <f t="shared" si="1"/>
        <v>9</v>
      </c>
      <c r="M10" s="9">
        <v>45700</v>
      </c>
      <c r="N10" s="7">
        <v>22.75</v>
      </c>
      <c r="O10" s="7">
        <v>74.256</v>
      </c>
      <c r="P10" s="7"/>
      <c r="Q10" t="s">
        <v>104</v>
      </c>
      <c r="R10">
        <f>_xlfn.QUARTILE.EXC(O2:O98,3)</f>
        <v>51.66</v>
      </c>
      <c r="T10">
        <f t="shared" si="2"/>
        <v>9</v>
      </c>
      <c r="U10" s="7">
        <v>22.75</v>
      </c>
      <c r="V10" s="7">
        <f t="shared" si="3"/>
        <v>19.023571428571426</v>
      </c>
      <c r="W10" s="7">
        <v>74.256</v>
      </c>
      <c r="X10" s="7">
        <f t="shared" si="4"/>
        <v>46.373142857142859</v>
      </c>
    </row>
    <row r="11" spans="1:24" x14ac:dyDescent="0.3">
      <c r="A11" s="2">
        <v>45693</v>
      </c>
      <c r="B11" t="s">
        <v>9</v>
      </c>
      <c r="C11" s="3">
        <v>7</v>
      </c>
      <c r="D11" s="3">
        <v>5</v>
      </c>
      <c r="E11" s="3" t="s">
        <v>239</v>
      </c>
      <c r="F11" s="7">
        <f>VLOOKUP(Prediction!B11,Data!$A$1:$F$7,2,)*C11*D11/1000</f>
        <v>11.2</v>
      </c>
      <c r="G11" s="7">
        <f>VLOOKUP(B11,Data!$A$1:$F$7,4,FALSE)*C11*D11/1000</f>
        <v>21.98</v>
      </c>
      <c r="H11" s="7">
        <f>VLOOKUP(B11,Data!$A$1:$G$7,7,FALSE)*C11</f>
        <v>32900</v>
      </c>
      <c r="I11" s="7">
        <f t="shared" si="0"/>
        <v>35</v>
      </c>
      <c r="J11" s="7"/>
      <c r="L11">
        <f t="shared" si="1"/>
        <v>10</v>
      </c>
      <c r="M11" s="9">
        <v>45701</v>
      </c>
      <c r="N11" s="7">
        <v>13.125</v>
      </c>
      <c r="O11" s="7">
        <v>42.839999999999996</v>
      </c>
      <c r="P11" s="7"/>
      <c r="Q11" t="s">
        <v>105</v>
      </c>
      <c r="R11">
        <f>R10-R9</f>
        <v>35.531999999999996</v>
      </c>
      <c r="T11">
        <f t="shared" si="2"/>
        <v>10</v>
      </c>
      <c r="U11" s="7">
        <v>13.125</v>
      </c>
      <c r="V11" s="7">
        <f t="shared" si="3"/>
        <v>18.786428571428569</v>
      </c>
      <c r="W11" s="7">
        <v>42.839999999999996</v>
      </c>
      <c r="X11" s="7">
        <f t="shared" si="4"/>
        <v>47.86</v>
      </c>
    </row>
    <row r="12" spans="1:24" x14ac:dyDescent="0.3">
      <c r="A12" s="2">
        <v>45693</v>
      </c>
      <c r="B12" t="s">
        <v>13</v>
      </c>
      <c r="C12" s="3">
        <v>6</v>
      </c>
      <c r="D12" s="3">
        <v>1</v>
      </c>
      <c r="E12" s="3" t="s">
        <v>232</v>
      </c>
      <c r="F12" s="7">
        <f>VLOOKUP(Prediction!B12,Data!$A$1:$F$7,2,)*C12*D12/1000</f>
        <v>1.56</v>
      </c>
      <c r="G12" s="7">
        <f>VLOOKUP(B12,Data!$A$1:$F$7,4,FALSE)*C12*D12/1000</f>
        <v>4.3019999999999996</v>
      </c>
      <c r="H12" s="7">
        <f>VLOOKUP(B12,Data!$A$1:$G$7,7,FALSE)*C12</f>
        <v>25800</v>
      </c>
      <c r="I12" s="7">
        <f t="shared" si="0"/>
        <v>6</v>
      </c>
      <c r="J12" s="7"/>
      <c r="L12">
        <f t="shared" si="1"/>
        <v>11</v>
      </c>
      <c r="M12" s="9">
        <v>45702</v>
      </c>
      <c r="N12" s="7">
        <v>36.049999999999997</v>
      </c>
      <c r="O12" s="10">
        <v>115.3635</v>
      </c>
      <c r="P12" s="7"/>
      <c r="Q12" t="s">
        <v>109</v>
      </c>
      <c r="R12">
        <f>R9-1.5*R11</f>
        <v>-37.169999999999995</v>
      </c>
      <c r="T12">
        <f t="shared" si="2"/>
        <v>11</v>
      </c>
      <c r="U12" s="7">
        <v>3.4750000000000001</v>
      </c>
      <c r="V12" s="7">
        <f t="shared" si="3"/>
        <v>15.752857142857142</v>
      </c>
      <c r="W12" s="7">
        <v>10.751999999999999</v>
      </c>
      <c r="X12" s="7">
        <f t="shared" si="4"/>
        <v>42.151714285714284</v>
      </c>
    </row>
    <row r="13" spans="1:24" x14ac:dyDescent="0.3">
      <c r="A13" s="2">
        <v>45696</v>
      </c>
      <c r="B13" t="s">
        <v>9</v>
      </c>
      <c r="C13" s="3">
        <v>7</v>
      </c>
      <c r="D13" s="3">
        <v>2</v>
      </c>
      <c r="E13" s="3" t="s">
        <v>219</v>
      </c>
      <c r="F13" s="7">
        <f>VLOOKUP(Prediction!B13,Data!$A$1:$F$7,2,)*C13*D13/1000</f>
        <v>4.4800000000000004</v>
      </c>
      <c r="G13" s="7">
        <f>VLOOKUP(B13,Data!$A$1:$F$7,4,FALSE)*C13*D13/1000</f>
        <v>8.7919999999999998</v>
      </c>
      <c r="H13" s="7">
        <f>VLOOKUP(B13,Data!$A$1:$G$7,7,FALSE)*C13</f>
        <v>32900</v>
      </c>
      <c r="I13" s="7">
        <f t="shared" si="0"/>
        <v>14</v>
      </c>
      <c r="J13" s="7"/>
      <c r="L13">
        <f t="shared" si="1"/>
        <v>12</v>
      </c>
      <c r="M13" s="9">
        <v>45703</v>
      </c>
      <c r="N13" s="7">
        <v>3.4750000000000001</v>
      </c>
      <c r="O13" s="7">
        <v>10.751999999999999</v>
      </c>
      <c r="P13" s="7"/>
      <c r="Q13" t="s">
        <v>107</v>
      </c>
      <c r="R13">
        <f>R10+1.5*R11</f>
        <v>104.958</v>
      </c>
      <c r="T13">
        <f t="shared" si="2"/>
        <v>12</v>
      </c>
      <c r="U13" s="7">
        <v>1.9550000000000001</v>
      </c>
      <c r="V13" s="7">
        <f t="shared" si="3"/>
        <v>12.226428571428571</v>
      </c>
      <c r="W13" s="7">
        <v>5.7119999999999997</v>
      </c>
      <c r="X13" s="7">
        <f t="shared" si="4"/>
        <v>34.091000000000001</v>
      </c>
    </row>
    <row r="14" spans="1:24" x14ac:dyDescent="0.3">
      <c r="A14" s="2">
        <v>45696</v>
      </c>
      <c r="B14" t="s">
        <v>9</v>
      </c>
      <c r="C14" s="3">
        <v>3</v>
      </c>
      <c r="D14" s="3">
        <v>1</v>
      </c>
      <c r="E14" s="3" t="s">
        <v>219</v>
      </c>
      <c r="F14" s="7">
        <f>VLOOKUP(Prediction!B14,Data!$A$1:$F$7,2,)*C14*D14/1000</f>
        <v>0.96</v>
      </c>
      <c r="G14" s="7">
        <f>VLOOKUP(B14,Data!$A$1:$F$7,4,FALSE)*C14*D14/1000</f>
        <v>1.8839999999999999</v>
      </c>
      <c r="H14" s="7">
        <f>VLOOKUP(B14,Data!$A$1:$G$7,7,FALSE)*C14</f>
        <v>14100</v>
      </c>
      <c r="I14" s="7">
        <f t="shared" si="0"/>
        <v>3</v>
      </c>
      <c r="J14" s="7"/>
      <c r="L14">
        <f t="shared" si="1"/>
        <v>13</v>
      </c>
      <c r="M14" s="9">
        <v>45704</v>
      </c>
      <c r="N14" s="7">
        <v>1.9550000000000001</v>
      </c>
      <c r="O14" s="7">
        <v>5.7119999999999997</v>
      </c>
      <c r="P14" s="7"/>
      <c r="T14">
        <f t="shared" si="2"/>
        <v>13</v>
      </c>
      <c r="U14" s="7">
        <v>9.2000000000000011</v>
      </c>
      <c r="V14" s="7">
        <f t="shared" si="3"/>
        <v>10.110714285714286</v>
      </c>
      <c r="W14" s="7">
        <v>26.88</v>
      </c>
      <c r="X14" s="7">
        <f t="shared" si="4"/>
        <v>30.187999999999999</v>
      </c>
    </row>
    <row r="15" spans="1:24" x14ac:dyDescent="0.3">
      <c r="A15" s="2">
        <v>45696</v>
      </c>
      <c r="B15" t="s">
        <v>9</v>
      </c>
      <c r="C15" s="3">
        <v>7</v>
      </c>
      <c r="D15" s="3">
        <v>6</v>
      </c>
      <c r="E15" s="3" t="s">
        <v>182</v>
      </c>
      <c r="F15" s="7">
        <f>VLOOKUP(Prediction!B15,Data!$A$1:$F$7,2,)*C15*D15/1000</f>
        <v>13.44</v>
      </c>
      <c r="G15" s="7">
        <f>VLOOKUP(B15,Data!$A$1:$F$7,4,FALSE)*C15*D15/1000</f>
        <v>26.376000000000001</v>
      </c>
      <c r="H15" s="7">
        <f>VLOOKUP(B15,Data!$A$1:$G$7,7,FALSE)*C15</f>
        <v>32900</v>
      </c>
      <c r="I15" s="7">
        <f t="shared" si="0"/>
        <v>42</v>
      </c>
      <c r="J15" s="7"/>
      <c r="L15">
        <f t="shared" si="1"/>
        <v>14</v>
      </c>
      <c r="M15" s="9">
        <v>45705</v>
      </c>
      <c r="N15" s="7">
        <v>9.2000000000000011</v>
      </c>
      <c r="O15" s="7">
        <v>26.88</v>
      </c>
      <c r="P15" s="7"/>
      <c r="T15">
        <f t="shared" si="2"/>
        <v>14</v>
      </c>
      <c r="U15" s="7">
        <v>9.94</v>
      </c>
      <c r="V15" s="7">
        <f t="shared" si="3"/>
        <v>9.9550000000000001</v>
      </c>
      <c r="W15" s="7">
        <v>22.596</v>
      </c>
      <c r="X15" s="7">
        <f t="shared" si="4"/>
        <v>30.04</v>
      </c>
    </row>
    <row r="16" spans="1:24" x14ac:dyDescent="0.3">
      <c r="A16" s="2">
        <v>45696</v>
      </c>
      <c r="B16" t="s">
        <v>9</v>
      </c>
      <c r="C16" s="3">
        <v>4</v>
      </c>
      <c r="D16" s="3">
        <v>1</v>
      </c>
      <c r="E16" s="3" t="s">
        <v>182</v>
      </c>
      <c r="F16" s="7">
        <f>VLOOKUP(Prediction!B16,Data!$A$1:$F$7,2,)*C16*D16/1000</f>
        <v>1.28</v>
      </c>
      <c r="G16" s="7">
        <f>VLOOKUP(B16,Data!$A$1:$F$7,4,FALSE)*C16*D16/1000</f>
        <v>2.512</v>
      </c>
      <c r="H16" s="7">
        <f>VLOOKUP(B16,Data!$A$1:$G$7,7,FALSE)*C16</f>
        <v>18800</v>
      </c>
      <c r="I16" s="7">
        <f t="shared" si="0"/>
        <v>4</v>
      </c>
      <c r="J16" s="7"/>
      <c r="L16">
        <f t="shared" si="1"/>
        <v>15</v>
      </c>
      <c r="M16" s="9">
        <v>45706</v>
      </c>
      <c r="N16" s="7">
        <v>9.94</v>
      </c>
      <c r="O16" s="7">
        <v>22.596</v>
      </c>
      <c r="P16" s="7"/>
      <c r="Q16" t="s">
        <v>115</v>
      </c>
      <c r="R16" t="s">
        <v>97</v>
      </c>
      <c r="S16" t="s">
        <v>111</v>
      </c>
      <c r="T16">
        <f t="shared" si="2"/>
        <v>15</v>
      </c>
      <c r="U16" s="7">
        <v>15.400000000000002</v>
      </c>
      <c r="V16" s="7">
        <f t="shared" si="3"/>
        <v>10.834999999999999</v>
      </c>
      <c r="W16" s="7">
        <v>36.4</v>
      </c>
      <c r="X16" s="7">
        <f t="shared" si="4"/>
        <v>31.348000000000003</v>
      </c>
    </row>
    <row r="17" spans="1:24" x14ac:dyDescent="0.3">
      <c r="A17" s="2">
        <v>45696</v>
      </c>
      <c r="B17" t="s">
        <v>9</v>
      </c>
      <c r="C17" s="3">
        <v>1</v>
      </c>
      <c r="D17" s="3">
        <v>1</v>
      </c>
      <c r="E17" s="3" t="s">
        <v>182</v>
      </c>
      <c r="F17" s="7">
        <f>VLOOKUP(Prediction!B17,Data!$A$1:$F$7,2,)*C17*D17/1000</f>
        <v>0.32</v>
      </c>
      <c r="G17" s="7">
        <f>VLOOKUP(B17,Data!$A$1:$F$7,4,FALSE)*C17*D17/1000</f>
        <v>0.628</v>
      </c>
      <c r="H17" s="7">
        <f>VLOOKUP(B17,Data!$A$1:$G$7,7,FALSE)*C17</f>
        <v>4700</v>
      </c>
      <c r="I17" s="7">
        <f t="shared" si="0"/>
        <v>1</v>
      </c>
      <c r="J17" s="7"/>
      <c r="L17">
        <f t="shared" si="1"/>
        <v>16</v>
      </c>
      <c r="M17" s="9">
        <v>45707</v>
      </c>
      <c r="N17" s="7">
        <v>15.400000000000002</v>
      </c>
      <c r="O17" s="7">
        <v>36.4</v>
      </c>
      <c r="P17" s="7"/>
      <c r="Q17" s="11">
        <v>99</v>
      </c>
      <c r="R17" s="7">
        <f>(-2*10^-7)*Q17^3 + 0.008*Q17^2 - 0.0186*Q17 + 11.073</f>
        <v>87.445540200000011</v>
      </c>
      <c r="S17" s="7">
        <f>(2*10^-5)*Q17^3-0.0006*Q17^2+0.0905*Q17+26.522</f>
        <v>49.006880000000002</v>
      </c>
      <c r="T17">
        <f t="shared" si="2"/>
        <v>16</v>
      </c>
      <c r="U17" s="7">
        <v>10.71</v>
      </c>
      <c r="V17" s="7">
        <f t="shared" si="3"/>
        <v>9.1150000000000002</v>
      </c>
      <c r="W17" s="7">
        <v>23.295999999999999</v>
      </c>
      <c r="X17" s="7">
        <f t="shared" si="4"/>
        <v>24.068000000000001</v>
      </c>
    </row>
    <row r="18" spans="1:24" x14ac:dyDescent="0.3">
      <c r="A18" s="2">
        <v>45696</v>
      </c>
      <c r="B18" t="s">
        <v>17</v>
      </c>
      <c r="C18" s="3">
        <v>7</v>
      </c>
      <c r="D18" s="3">
        <v>3</v>
      </c>
      <c r="E18" s="3" t="s">
        <v>252</v>
      </c>
      <c r="F18" s="7">
        <f>VLOOKUP(Prediction!B18,Data!$A$1:$F$7,2,)*C18*D18/1000</f>
        <v>4.41</v>
      </c>
      <c r="G18" s="7">
        <f>VLOOKUP(B18,Data!$A$1:$F$7,4,FALSE)*C18*D18/1000</f>
        <v>16.233000000000001</v>
      </c>
      <c r="H18" s="7">
        <f>VLOOKUP(B18,Data!$A$1:$G$7,7,FALSE)*C18</f>
        <v>28000</v>
      </c>
      <c r="I18" s="7">
        <f t="shared" si="0"/>
        <v>21</v>
      </c>
      <c r="J18" s="7"/>
      <c r="L18">
        <f t="shared" si="1"/>
        <v>17</v>
      </c>
      <c r="M18" s="9">
        <v>45708</v>
      </c>
      <c r="N18" s="7">
        <v>10.71</v>
      </c>
      <c r="O18" s="7">
        <v>23.295999999999999</v>
      </c>
      <c r="P18" s="7"/>
      <c r="Q18" s="11">
        <v>100</v>
      </c>
      <c r="R18" s="7">
        <f t="shared" ref="R18:R22" si="5">(-2*10^-7)*Q18^3 + 0.008*Q18^2 - 0.0186*Q18 + 11.073</f>
        <v>89.013000000000005</v>
      </c>
      <c r="S18" s="7">
        <f t="shared" ref="S18:S22" si="6">(2*10^-5)*Q18^3-0.0006*Q18^2+0.0905*Q18+26.522</f>
        <v>49.571999999999996</v>
      </c>
      <c r="T18">
        <f t="shared" si="2"/>
        <v>17</v>
      </c>
      <c r="U18" s="7">
        <v>20.834999999999997</v>
      </c>
      <c r="V18" s="7">
        <f t="shared" si="3"/>
        <v>10.216428571428571</v>
      </c>
      <c r="W18" s="7">
        <v>51.321499999999993</v>
      </c>
      <c r="X18" s="7">
        <f t="shared" si="4"/>
        <v>25.279642857142854</v>
      </c>
    </row>
    <row r="19" spans="1:24" x14ac:dyDescent="0.3">
      <c r="A19" s="2">
        <v>45696</v>
      </c>
      <c r="B19" t="s">
        <v>7</v>
      </c>
      <c r="C19" s="3">
        <v>7</v>
      </c>
      <c r="D19" s="3">
        <v>1</v>
      </c>
      <c r="E19" s="3" t="s">
        <v>232</v>
      </c>
      <c r="F19" s="7">
        <f>VLOOKUP(Prediction!B19,Data!$A$1:$F$7,2,)*C19*D19/1000</f>
        <v>1.75</v>
      </c>
      <c r="G19" s="7">
        <f>VLOOKUP(B19,Data!$A$1:$F$7,4,FALSE)*C19*D19/1000</f>
        <v>5.7119999999999997</v>
      </c>
      <c r="H19" s="7">
        <f>VLOOKUP(B19,Data!$A$1:$G$7,7,FALSE)*C19</f>
        <v>36400</v>
      </c>
      <c r="I19" s="7">
        <f t="shared" si="0"/>
        <v>7</v>
      </c>
      <c r="J19" s="7"/>
      <c r="L19">
        <f t="shared" si="1"/>
        <v>18</v>
      </c>
      <c r="M19" s="9">
        <v>45709</v>
      </c>
      <c r="N19" s="7">
        <v>20.834999999999997</v>
      </c>
      <c r="O19" s="7">
        <v>51.321499999999993</v>
      </c>
      <c r="P19" s="7"/>
      <c r="Q19" s="11">
        <v>101</v>
      </c>
      <c r="R19" s="7">
        <f t="shared" si="5"/>
        <v>90.59633980000001</v>
      </c>
      <c r="S19" s="7">
        <f>(2*10^-5)*Q19^3-0.0006*Q19^2+0.0905*Q19+26.522</f>
        <v>50.147919999999999</v>
      </c>
      <c r="T19">
        <f t="shared" si="2"/>
        <v>18</v>
      </c>
      <c r="U19" s="7">
        <v>10.61</v>
      </c>
      <c r="V19" s="7">
        <f t="shared" si="3"/>
        <v>11.235714285714286</v>
      </c>
      <c r="W19" s="7">
        <v>25.052</v>
      </c>
      <c r="X19" s="7">
        <f t="shared" si="4"/>
        <v>27.322499999999994</v>
      </c>
    </row>
    <row r="20" spans="1:24" x14ac:dyDescent="0.3">
      <c r="A20" s="2">
        <v>45697</v>
      </c>
      <c r="B20" t="s">
        <v>17</v>
      </c>
      <c r="C20" s="3">
        <v>7</v>
      </c>
      <c r="D20" s="3">
        <v>1</v>
      </c>
      <c r="E20" s="3" t="s">
        <v>252</v>
      </c>
      <c r="F20" s="7">
        <f>VLOOKUP(Prediction!B20,Data!$A$1:$F$7,2,)*C20*D20/1000</f>
        <v>1.47</v>
      </c>
      <c r="G20" s="7">
        <f>VLOOKUP(B20,Data!$A$1:$F$7,4,FALSE)*C20*D20/1000</f>
        <v>5.4109999999999996</v>
      </c>
      <c r="H20" s="7">
        <f>VLOOKUP(B20,Data!$A$1:$G$7,7,FALSE)*C20</f>
        <v>28000</v>
      </c>
      <c r="I20" s="7">
        <f t="shared" si="0"/>
        <v>7</v>
      </c>
      <c r="J20" s="7"/>
      <c r="L20">
        <f t="shared" si="1"/>
        <v>19</v>
      </c>
      <c r="M20" s="9">
        <v>45710</v>
      </c>
      <c r="N20" s="7">
        <v>10.61</v>
      </c>
      <c r="O20" s="7">
        <v>25.052</v>
      </c>
      <c r="P20" s="7"/>
      <c r="Q20" s="11">
        <v>102</v>
      </c>
      <c r="R20" s="7">
        <f t="shared" si="5"/>
        <v>92.19555840000001</v>
      </c>
      <c r="S20" s="7">
        <f t="shared" si="6"/>
        <v>50.734760000000001</v>
      </c>
      <c r="T20">
        <f t="shared" si="2"/>
        <v>19</v>
      </c>
      <c r="U20" s="7">
        <v>3.09</v>
      </c>
      <c r="V20" s="7">
        <f t="shared" si="3"/>
        <v>11.397857142857145</v>
      </c>
      <c r="W20" s="7">
        <v>9.4559999999999995</v>
      </c>
      <c r="X20" s="7">
        <f t="shared" si="4"/>
        <v>27.857357142857136</v>
      </c>
    </row>
    <row r="21" spans="1:24" x14ac:dyDescent="0.3">
      <c r="A21" s="2">
        <v>45697</v>
      </c>
      <c r="B21" t="s">
        <v>7</v>
      </c>
      <c r="C21" s="3">
        <v>7</v>
      </c>
      <c r="D21" s="3">
        <v>1</v>
      </c>
      <c r="E21" s="3" t="s">
        <v>232</v>
      </c>
      <c r="F21" s="7">
        <f>VLOOKUP(Prediction!B21,Data!$A$1:$F$7,2,)*C21*D21/1000</f>
        <v>1.75</v>
      </c>
      <c r="G21" s="7">
        <f>VLOOKUP(B21,Data!$A$1:$F$7,4,FALSE)*C21*D21/1000</f>
        <v>5.7119999999999997</v>
      </c>
      <c r="H21" s="7">
        <f>VLOOKUP(B21,Data!$A$1:$G$7,7,FALSE)*C21</f>
        <v>36400</v>
      </c>
      <c r="I21" s="7">
        <f t="shared" si="0"/>
        <v>7</v>
      </c>
      <c r="J21" s="7"/>
      <c r="L21">
        <f t="shared" si="1"/>
        <v>20</v>
      </c>
      <c r="M21" s="9">
        <v>45711</v>
      </c>
      <c r="N21" s="7">
        <v>3.09</v>
      </c>
      <c r="O21" s="7">
        <v>9.4559999999999995</v>
      </c>
      <c r="P21" s="7"/>
      <c r="Q21" s="11">
        <v>103</v>
      </c>
      <c r="R21" s="7">
        <f t="shared" si="5"/>
        <v>93.810654599999992</v>
      </c>
      <c r="S21" s="7">
        <f t="shared" si="6"/>
        <v>51.332639999999998</v>
      </c>
      <c r="T21">
        <f t="shared" si="2"/>
        <v>20</v>
      </c>
      <c r="U21" s="7">
        <v>6.51</v>
      </c>
      <c r="V21" s="7">
        <f t="shared" si="3"/>
        <v>11.01357142857143</v>
      </c>
      <c r="W21" s="7">
        <v>15.936</v>
      </c>
      <c r="X21" s="7">
        <f t="shared" si="4"/>
        <v>26.29392857142857</v>
      </c>
    </row>
    <row r="22" spans="1:24" x14ac:dyDescent="0.3">
      <c r="A22" s="2">
        <v>45697</v>
      </c>
      <c r="B22" t="s">
        <v>9</v>
      </c>
      <c r="C22" s="3">
        <v>5</v>
      </c>
      <c r="D22" s="3">
        <v>1</v>
      </c>
      <c r="E22" s="3" t="s">
        <v>179</v>
      </c>
      <c r="F22" s="7">
        <f>VLOOKUP(Prediction!B22,Data!$A$1:$F$7,2,)*C22*D22/1000</f>
        <v>1.6</v>
      </c>
      <c r="G22" s="7">
        <f>VLOOKUP(B22,Data!$A$1:$F$7,4,FALSE)*C22*D22/1000</f>
        <v>3.14</v>
      </c>
      <c r="H22" s="7">
        <f>VLOOKUP(B22,Data!$A$1:$G$7,7,FALSE)*C22</f>
        <v>23500</v>
      </c>
      <c r="I22" s="7">
        <f t="shared" si="0"/>
        <v>5</v>
      </c>
      <c r="J22" s="7"/>
      <c r="L22">
        <f t="shared" si="1"/>
        <v>21</v>
      </c>
      <c r="M22" s="9">
        <v>45712</v>
      </c>
      <c r="N22" s="7">
        <v>6.51</v>
      </c>
      <c r="O22" s="7">
        <v>15.936</v>
      </c>
      <c r="P22" s="7"/>
      <c r="Q22" s="11">
        <v>104</v>
      </c>
      <c r="R22" s="7">
        <f t="shared" si="5"/>
        <v>95.441627199999999</v>
      </c>
      <c r="S22" s="7">
        <f t="shared" si="6"/>
        <v>51.941680000000005</v>
      </c>
      <c r="T22">
        <f t="shared" si="2"/>
        <v>21</v>
      </c>
      <c r="U22" s="7">
        <v>3.9399999999999995</v>
      </c>
      <c r="V22" s="7">
        <f t="shared" si="3"/>
        <v>10.156428571428572</v>
      </c>
      <c r="W22" s="7">
        <v>13.105999999999998</v>
      </c>
      <c r="X22" s="7">
        <f t="shared" si="4"/>
        <v>24.938214285714281</v>
      </c>
    </row>
    <row r="23" spans="1:24" x14ac:dyDescent="0.3">
      <c r="A23" s="2">
        <v>45697</v>
      </c>
      <c r="B23" t="s">
        <v>9</v>
      </c>
      <c r="C23" s="3">
        <v>4.5</v>
      </c>
      <c r="D23" s="3">
        <v>1</v>
      </c>
      <c r="E23" s="3" t="s">
        <v>219</v>
      </c>
      <c r="F23" s="7">
        <f>VLOOKUP(Prediction!B23,Data!$A$1:$F$7,2,)*C23*D23/1000</f>
        <v>1.44</v>
      </c>
      <c r="G23" s="7">
        <f>VLOOKUP(B23,Data!$A$1:$F$7,4,FALSE)*C23*D23/1000</f>
        <v>2.8260000000000001</v>
      </c>
      <c r="H23" s="7">
        <f>VLOOKUP(B23,Data!$A$1:$G$7,7,FALSE)*C23</f>
        <v>21150</v>
      </c>
      <c r="I23" s="7">
        <f t="shared" si="0"/>
        <v>4.5</v>
      </c>
      <c r="J23" s="7"/>
      <c r="L23">
        <f t="shared" si="1"/>
        <v>22</v>
      </c>
      <c r="M23" s="9">
        <v>45713</v>
      </c>
      <c r="N23" s="7">
        <v>3.9399999999999995</v>
      </c>
      <c r="O23" s="7">
        <v>13.105999999999998</v>
      </c>
      <c r="P23" s="7"/>
      <c r="T23">
        <f t="shared" si="2"/>
        <v>22</v>
      </c>
      <c r="U23" s="7">
        <v>14.434999999999999</v>
      </c>
      <c r="V23" s="7">
        <f t="shared" si="3"/>
        <v>10.018571428571429</v>
      </c>
      <c r="W23" s="7">
        <v>37.356999999999999</v>
      </c>
      <c r="X23" s="7">
        <f t="shared" si="4"/>
        <v>25.074928571428568</v>
      </c>
    </row>
    <row r="24" spans="1:24" x14ac:dyDescent="0.3">
      <c r="A24" s="2">
        <v>45697</v>
      </c>
      <c r="B24" t="s">
        <v>9</v>
      </c>
      <c r="C24" s="3">
        <v>7</v>
      </c>
      <c r="D24" s="3">
        <v>5</v>
      </c>
      <c r="E24" s="3" t="s">
        <v>243</v>
      </c>
      <c r="F24" s="7">
        <f>VLOOKUP(Prediction!B24,Data!$A$1:$F$7,2,)*C24*D24/1000</f>
        <v>11.2</v>
      </c>
      <c r="G24" s="7">
        <f>VLOOKUP(B24,Data!$A$1:$F$7,4,FALSE)*C24*D24/1000</f>
        <v>21.98</v>
      </c>
      <c r="H24" s="7">
        <f>VLOOKUP(B24,Data!$A$1:$G$7,7,FALSE)*C24</f>
        <v>32900</v>
      </c>
      <c r="I24" s="7">
        <f t="shared" si="0"/>
        <v>35</v>
      </c>
      <c r="J24" s="7"/>
      <c r="L24">
        <f t="shared" si="1"/>
        <v>23</v>
      </c>
      <c r="M24" s="9">
        <v>45714</v>
      </c>
      <c r="N24" s="7">
        <v>14.434999999999999</v>
      </c>
      <c r="O24" s="7">
        <v>37.356999999999999</v>
      </c>
      <c r="P24" s="7"/>
      <c r="S24" t="s">
        <v>116</v>
      </c>
      <c r="T24">
        <f t="shared" si="2"/>
        <v>23</v>
      </c>
      <c r="U24" s="7">
        <v>10.66</v>
      </c>
      <c r="V24" s="7">
        <f t="shared" si="3"/>
        <v>10.011428571428569</v>
      </c>
      <c r="W24" s="7">
        <v>29.396999999999998</v>
      </c>
      <c r="X24" s="7">
        <f t="shared" si="4"/>
        <v>25.946499999999997</v>
      </c>
    </row>
    <row r="25" spans="1:24" x14ac:dyDescent="0.3">
      <c r="A25" s="2">
        <v>45697</v>
      </c>
      <c r="B25" t="s">
        <v>9</v>
      </c>
      <c r="C25" s="3">
        <v>2</v>
      </c>
      <c r="D25" s="3">
        <v>1</v>
      </c>
      <c r="E25" s="3" t="s">
        <v>243</v>
      </c>
      <c r="F25" s="7">
        <f>VLOOKUP(Prediction!B25,Data!$A$1:$F$7,2,)*C25*D25/1000</f>
        <v>0.64</v>
      </c>
      <c r="G25" s="7">
        <f>VLOOKUP(B25,Data!$A$1:$F$7,4,FALSE)*C25*D25/1000</f>
        <v>1.256</v>
      </c>
      <c r="H25" s="7">
        <f>VLOOKUP(B25,Data!$A$1:$G$7,7,FALSE)*C25</f>
        <v>9400</v>
      </c>
      <c r="I25" s="7">
        <f t="shared" si="0"/>
        <v>2</v>
      </c>
      <c r="J25" s="7"/>
      <c r="L25">
        <f t="shared" si="1"/>
        <v>24</v>
      </c>
      <c r="M25" s="9">
        <v>45715</v>
      </c>
      <c r="N25" s="7">
        <v>10.66</v>
      </c>
      <c r="O25" s="7">
        <v>29.396999999999998</v>
      </c>
      <c r="P25" s="7"/>
      <c r="S25">
        <f>2.4*S17</f>
        <v>117.616512</v>
      </c>
      <c r="T25">
        <f t="shared" si="2"/>
        <v>24</v>
      </c>
      <c r="U25" s="7">
        <v>12.74</v>
      </c>
      <c r="V25" s="7">
        <f t="shared" si="3"/>
        <v>8.8549999999999986</v>
      </c>
      <c r="W25" s="7">
        <v>35.133000000000003</v>
      </c>
      <c r="X25" s="7">
        <f t="shared" si="4"/>
        <v>23.633857142857146</v>
      </c>
    </row>
    <row r="26" spans="1:24" x14ac:dyDescent="0.3">
      <c r="A26" s="2">
        <v>45697</v>
      </c>
      <c r="B26" t="s">
        <v>9</v>
      </c>
      <c r="C26" s="3">
        <v>6.5</v>
      </c>
      <c r="D26" s="3">
        <v>2</v>
      </c>
      <c r="E26" s="3" t="s">
        <v>209</v>
      </c>
      <c r="F26" s="7">
        <f>VLOOKUP(Prediction!B26,Data!$A$1:$F$7,2,)*C26*D26/1000</f>
        <v>4.16</v>
      </c>
      <c r="G26" s="7">
        <f>VLOOKUP(B26,Data!$A$1:$F$7,4,FALSE)*C26*D26/1000</f>
        <v>8.1639999999999997</v>
      </c>
      <c r="H26" s="7">
        <f>VLOOKUP(B26,Data!$A$1:$G$7,7,FALSE)*C26</f>
        <v>30550</v>
      </c>
      <c r="I26" s="7">
        <f t="shared" si="0"/>
        <v>13</v>
      </c>
      <c r="J26" s="7"/>
      <c r="L26">
        <f t="shared" si="1"/>
        <v>25</v>
      </c>
      <c r="M26" s="9">
        <v>45716</v>
      </c>
      <c r="N26" s="7">
        <v>12.74</v>
      </c>
      <c r="O26" s="7">
        <v>35.133000000000003</v>
      </c>
      <c r="P26" s="7"/>
      <c r="S26">
        <f t="shared" ref="S26:S30" si="7">2.4*S18</f>
        <v>118.97279999999998</v>
      </c>
      <c r="T26">
        <f t="shared" si="2"/>
        <v>25</v>
      </c>
      <c r="U26" s="7">
        <v>18.060000000000002</v>
      </c>
      <c r="V26" s="7">
        <f t="shared" si="3"/>
        <v>9.9192857142857154</v>
      </c>
      <c r="W26" s="7">
        <v>51.576000000000001</v>
      </c>
      <c r="X26" s="7">
        <f t="shared" si="4"/>
        <v>27.422999999999998</v>
      </c>
    </row>
    <row r="27" spans="1:24" x14ac:dyDescent="0.3">
      <c r="A27" s="2">
        <v>45697</v>
      </c>
      <c r="B27" t="s">
        <v>7</v>
      </c>
      <c r="C27" s="3">
        <v>7</v>
      </c>
      <c r="D27" s="3">
        <v>1</v>
      </c>
      <c r="E27" s="3" t="s">
        <v>232</v>
      </c>
      <c r="F27" s="7">
        <f>VLOOKUP(Prediction!B27,Data!$A$1:$F$7,2,)*C27*D27/1000</f>
        <v>1.75</v>
      </c>
      <c r="G27" s="7">
        <f>VLOOKUP(B27,Data!$A$1:$F$7,4,FALSE)*C27*D27/1000</f>
        <v>5.7119999999999997</v>
      </c>
      <c r="H27" s="7">
        <f>VLOOKUP(B27,Data!$A$1:$G$7,7,FALSE)*C27</f>
        <v>36400</v>
      </c>
      <c r="I27" s="7">
        <f t="shared" si="0"/>
        <v>7</v>
      </c>
      <c r="J27" s="7"/>
      <c r="L27">
        <f t="shared" si="1"/>
        <v>26</v>
      </c>
      <c r="M27" s="9">
        <v>45717</v>
      </c>
      <c r="N27" s="7">
        <v>18.060000000000002</v>
      </c>
      <c r="O27" s="7">
        <v>51.576000000000001</v>
      </c>
      <c r="P27" s="7"/>
      <c r="S27">
        <f t="shared" si="7"/>
        <v>120.355008</v>
      </c>
      <c r="T27">
        <f t="shared" si="2"/>
        <v>26</v>
      </c>
      <c r="U27" s="7">
        <v>9.1</v>
      </c>
      <c r="V27" s="7">
        <f t="shared" si="3"/>
        <v>10.777857142857142</v>
      </c>
      <c r="W27" s="7">
        <v>25.094999999999999</v>
      </c>
      <c r="X27" s="7">
        <f t="shared" si="4"/>
        <v>29.657142857142855</v>
      </c>
    </row>
    <row r="28" spans="1:24" x14ac:dyDescent="0.3">
      <c r="A28" s="2">
        <v>45698</v>
      </c>
      <c r="B28" t="s">
        <v>4</v>
      </c>
      <c r="C28" s="3">
        <v>6</v>
      </c>
      <c r="D28" s="3">
        <v>1</v>
      </c>
      <c r="E28" s="3" t="s">
        <v>174</v>
      </c>
      <c r="F28" s="7">
        <f>VLOOKUP(Prediction!B28,Data!$A$1:$F$7,2,)*C28*D28/1000</f>
        <v>1.38</v>
      </c>
      <c r="G28" s="7">
        <f>VLOOKUP(B28,Data!$A$1:$F$7,4,FALSE)*C28*D28/1000</f>
        <v>4.032</v>
      </c>
      <c r="H28" s="7">
        <f>VLOOKUP(B28,Data!$A$1:$G$7,7,FALSE)*C28</f>
        <v>30000</v>
      </c>
      <c r="I28" s="7">
        <f t="shared" si="0"/>
        <v>6</v>
      </c>
      <c r="J28" s="7"/>
      <c r="L28">
        <f t="shared" si="1"/>
        <v>27</v>
      </c>
      <c r="M28" s="9">
        <v>45718</v>
      </c>
      <c r="N28" s="7">
        <v>9.1</v>
      </c>
      <c r="O28" s="7">
        <v>25.094999999999999</v>
      </c>
      <c r="P28" s="7"/>
      <c r="S28">
        <f t="shared" si="7"/>
        <v>121.763424</v>
      </c>
      <c r="T28">
        <f t="shared" si="2"/>
        <v>27</v>
      </c>
      <c r="U28" s="7">
        <v>6.72</v>
      </c>
      <c r="V28" s="7">
        <f t="shared" si="3"/>
        <v>10.807857142857143</v>
      </c>
      <c r="W28" s="7">
        <v>13.188000000000001</v>
      </c>
      <c r="X28" s="7">
        <f t="shared" si="4"/>
        <v>29.264571428571426</v>
      </c>
    </row>
    <row r="29" spans="1:24" x14ac:dyDescent="0.3">
      <c r="A29" s="2">
        <v>45698</v>
      </c>
      <c r="B29" t="s">
        <v>4</v>
      </c>
      <c r="C29" s="3">
        <v>3</v>
      </c>
      <c r="D29" s="3">
        <v>1</v>
      </c>
      <c r="E29" s="3" t="s">
        <v>174</v>
      </c>
      <c r="F29" s="7">
        <f>VLOOKUP(Prediction!B29,Data!$A$1:$F$7,2,)*C29*D29/1000</f>
        <v>0.69</v>
      </c>
      <c r="G29" s="7">
        <f>VLOOKUP(B29,Data!$A$1:$F$7,4,FALSE)*C29*D29/1000</f>
        <v>2.016</v>
      </c>
      <c r="H29" s="7">
        <f>VLOOKUP(B29,Data!$A$1:$G$7,7,FALSE)*C29</f>
        <v>15000</v>
      </c>
      <c r="I29" s="7">
        <f t="shared" si="0"/>
        <v>3</v>
      </c>
      <c r="J29" s="7"/>
      <c r="L29">
        <f t="shared" si="1"/>
        <v>28</v>
      </c>
      <c r="M29" s="9">
        <v>45719</v>
      </c>
      <c r="N29" s="7">
        <v>6.72</v>
      </c>
      <c r="O29" s="7">
        <v>13.188000000000001</v>
      </c>
      <c r="P29" s="7"/>
      <c r="S29">
        <f t="shared" si="7"/>
        <v>123.19833599999998</v>
      </c>
      <c r="T29">
        <f t="shared" si="2"/>
        <v>28</v>
      </c>
      <c r="U29" s="7">
        <v>12.76</v>
      </c>
      <c r="V29" s="7">
        <f t="shared" si="3"/>
        <v>12.067857142857145</v>
      </c>
      <c r="W29" s="7">
        <v>34.152000000000001</v>
      </c>
      <c r="X29" s="7">
        <f t="shared" si="4"/>
        <v>32.271142857142856</v>
      </c>
    </row>
    <row r="30" spans="1:24" x14ac:dyDescent="0.3">
      <c r="A30" s="2">
        <v>45698</v>
      </c>
      <c r="B30" t="s">
        <v>9</v>
      </c>
      <c r="C30" s="3">
        <v>7</v>
      </c>
      <c r="D30" s="3">
        <v>4</v>
      </c>
      <c r="E30" s="3" t="s">
        <v>214</v>
      </c>
      <c r="F30" s="7">
        <f>VLOOKUP(Prediction!B30,Data!$A$1:$F$7,2,)*C30*D30/1000</f>
        <v>8.9600000000000009</v>
      </c>
      <c r="G30" s="7">
        <f>VLOOKUP(B30,Data!$A$1:$F$7,4,FALSE)*C30*D30/1000</f>
        <v>17.584</v>
      </c>
      <c r="H30" s="7">
        <f>VLOOKUP(B30,Data!$A$1:$G$7,7,FALSE)*C30</f>
        <v>32900</v>
      </c>
      <c r="I30" s="7">
        <f t="shared" si="0"/>
        <v>28</v>
      </c>
      <c r="J30" s="7"/>
      <c r="L30">
        <f t="shared" si="1"/>
        <v>29</v>
      </c>
      <c r="M30" s="9">
        <v>45720</v>
      </c>
      <c r="N30" s="7">
        <v>12.76</v>
      </c>
      <c r="O30" s="7">
        <v>34.152000000000001</v>
      </c>
      <c r="P30" s="7"/>
      <c r="S30">
        <f t="shared" si="7"/>
        <v>124.660032</v>
      </c>
      <c r="T30">
        <f t="shared" si="2"/>
        <v>29</v>
      </c>
      <c r="U30" s="7">
        <v>10.99</v>
      </c>
      <c r="V30" s="7">
        <f t="shared" si="3"/>
        <v>11.575714285714286</v>
      </c>
      <c r="W30" s="7">
        <v>32.955999999999996</v>
      </c>
      <c r="X30" s="7">
        <f t="shared" si="4"/>
        <v>31.642428571428571</v>
      </c>
    </row>
    <row r="31" spans="1:24" x14ac:dyDescent="0.3">
      <c r="A31" s="2">
        <v>45699</v>
      </c>
      <c r="B31" t="s">
        <v>9</v>
      </c>
      <c r="C31" s="3">
        <v>7</v>
      </c>
      <c r="D31" s="3">
        <v>1</v>
      </c>
      <c r="E31" s="3" t="s">
        <v>214</v>
      </c>
      <c r="F31" s="7">
        <f>VLOOKUP(Prediction!B31,Data!$A$1:$F$7,2,)*C31*D31/1000</f>
        <v>2.2400000000000002</v>
      </c>
      <c r="G31" s="7">
        <f>VLOOKUP(B31,Data!$A$1:$F$7,4,FALSE)*C31*D31/1000</f>
        <v>4.3959999999999999</v>
      </c>
      <c r="H31" s="7">
        <f>VLOOKUP(B31,Data!$A$1:$G$7,7,FALSE)*C31</f>
        <v>32900</v>
      </c>
      <c r="I31" s="7">
        <f t="shared" si="0"/>
        <v>7</v>
      </c>
      <c r="J31" s="7"/>
      <c r="L31">
        <f t="shared" si="1"/>
        <v>30</v>
      </c>
      <c r="M31" s="9">
        <v>45722</v>
      </c>
      <c r="N31" s="7">
        <v>10.99</v>
      </c>
      <c r="O31" s="7">
        <v>32.955999999999996</v>
      </c>
      <c r="P31" s="7"/>
      <c r="T31">
        <f t="shared" si="2"/>
        <v>30</v>
      </c>
      <c r="U31" s="7">
        <v>17.605</v>
      </c>
      <c r="V31" s="7">
        <f t="shared" si="3"/>
        <v>12.567857142857145</v>
      </c>
      <c r="W31" s="7">
        <v>43.257999999999996</v>
      </c>
      <c r="X31" s="7">
        <f t="shared" si="4"/>
        <v>33.622571428571426</v>
      </c>
    </row>
    <row r="32" spans="1:24" x14ac:dyDescent="0.3">
      <c r="A32" s="2">
        <v>45699</v>
      </c>
      <c r="B32" t="s">
        <v>7</v>
      </c>
      <c r="C32" s="3">
        <v>7</v>
      </c>
      <c r="D32" s="3">
        <v>4</v>
      </c>
      <c r="E32" s="3" t="s">
        <v>252</v>
      </c>
      <c r="F32" s="7">
        <f>VLOOKUP(Prediction!B32,Data!$A$1:$F$7,2,)*C32*D32/1000</f>
        <v>7</v>
      </c>
      <c r="G32" s="7">
        <f>VLOOKUP(B32,Data!$A$1:$F$7,4,FALSE)*C32*D32/1000</f>
        <v>22.847999999999999</v>
      </c>
      <c r="H32" s="7">
        <f>VLOOKUP(B32,Data!$A$1:$G$7,7,FALSE)*C32</f>
        <v>36400</v>
      </c>
      <c r="I32" s="7">
        <f t="shared" si="0"/>
        <v>28</v>
      </c>
      <c r="J32" s="7"/>
      <c r="L32">
        <f t="shared" si="1"/>
        <v>31</v>
      </c>
      <c r="M32" s="9">
        <v>45723</v>
      </c>
      <c r="N32" s="7">
        <v>17.605</v>
      </c>
      <c r="O32" s="7">
        <v>43.257999999999996</v>
      </c>
      <c r="P32" s="7"/>
      <c r="T32">
        <f t="shared" si="2"/>
        <v>31</v>
      </c>
      <c r="U32" s="7">
        <v>14.92</v>
      </c>
      <c r="V32" s="7">
        <f t="shared" si="3"/>
        <v>12.879285714285714</v>
      </c>
      <c r="W32" s="7">
        <v>34.088000000000001</v>
      </c>
      <c r="X32" s="7">
        <f t="shared" si="4"/>
        <v>33.473285714285709</v>
      </c>
    </row>
    <row r="33" spans="1:24" x14ac:dyDescent="0.3">
      <c r="A33" s="2">
        <v>45700</v>
      </c>
      <c r="B33" t="s">
        <v>7</v>
      </c>
      <c r="C33" s="3">
        <v>7</v>
      </c>
      <c r="D33" s="3">
        <v>10</v>
      </c>
      <c r="E33" s="3" t="s">
        <v>252</v>
      </c>
      <c r="F33" s="7">
        <f>VLOOKUP(Prediction!B33,Data!$A$1:$F$7,2,)*C33*D33/1000</f>
        <v>17.5</v>
      </c>
      <c r="G33" s="7">
        <f>VLOOKUP(B33,Data!$A$1:$F$7,4,FALSE)*C33*D33/1000</f>
        <v>57.12</v>
      </c>
      <c r="H33" s="7">
        <f>VLOOKUP(B33,Data!$A$1:$G$7,7,FALSE)*C33</f>
        <v>36400</v>
      </c>
      <c r="I33" s="7">
        <f t="shared" si="0"/>
        <v>70</v>
      </c>
      <c r="J33" s="7"/>
      <c r="L33">
        <f t="shared" si="1"/>
        <v>32</v>
      </c>
      <c r="M33" s="9">
        <v>45724</v>
      </c>
      <c r="N33" s="7">
        <v>14.92</v>
      </c>
      <c r="O33" s="7">
        <v>34.088000000000001</v>
      </c>
      <c r="P33" s="7"/>
      <c r="T33">
        <f t="shared" si="2"/>
        <v>32</v>
      </c>
      <c r="U33" s="7">
        <v>8.0500000000000007</v>
      </c>
      <c r="V33" s="7">
        <f t="shared" si="3"/>
        <v>11.449285714285713</v>
      </c>
      <c r="W33" s="7">
        <v>23.519999999999996</v>
      </c>
      <c r="X33" s="7">
        <f t="shared" si="4"/>
        <v>29.465285714285717</v>
      </c>
    </row>
    <row r="34" spans="1:24" x14ac:dyDescent="0.3">
      <c r="A34" s="2">
        <v>45700</v>
      </c>
      <c r="B34" t="s">
        <v>7</v>
      </c>
      <c r="C34" s="3">
        <v>7</v>
      </c>
      <c r="D34" s="3">
        <v>3</v>
      </c>
      <c r="E34" s="3" t="s">
        <v>232</v>
      </c>
      <c r="F34" s="7">
        <f>VLOOKUP(Prediction!B34,Data!$A$1:$F$7,2,)*C34*D34/1000</f>
        <v>5.25</v>
      </c>
      <c r="G34" s="7">
        <f>VLOOKUP(B34,Data!$A$1:$F$7,4,FALSE)*C34*D34/1000</f>
        <v>17.135999999999999</v>
      </c>
      <c r="H34" s="7">
        <f>VLOOKUP(B34,Data!$A$1:$G$7,7,FALSE)*C34</f>
        <v>36400</v>
      </c>
      <c r="I34" s="7">
        <f t="shared" ref="I34:I65" si="8">C34*D34</f>
        <v>21</v>
      </c>
      <c r="J34" s="7"/>
      <c r="L34">
        <f t="shared" si="1"/>
        <v>33</v>
      </c>
      <c r="M34" s="9">
        <v>45725</v>
      </c>
      <c r="N34" s="7">
        <v>8.0500000000000007</v>
      </c>
      <c r="O34" s="7">
        <v>23.519999999999996</v>
      </c>
      <c r="P34" s="7"/>
      <c r="T34">
        <f t="shared" si="2"/>
        <v>33</v>
      </c>
      <c r="U34" s="7">
        <v>1.28</v>
      </c>
      <c r="V34" s="7">
        <f t="shared" si="3"/>
        <v>10.332142857142857</v>
      </c>
      <c r="W34" s="7">
        <v>2.512</v>
      </c>
      <c r="X34" s="7">
        <f t="shared" si="4"/>
        <v>26.239142857142856</v>
      </c>
    </row>
    <row r="35" spans="1:24" x14ac:dyDescent="0.3">
      <c r="A35" s="2">
        <v>45701</v>
      </c>
      <c r="B35" t="s">
        <v>7</v>
      </c>
      <c r="C35" s="3">
        <v>7</v>
      </c>
      <c r="D35" s="3">
        <v>5</v>
      </c>
      <c r="E35" s="3" t="s">
        <v>252</v>
      </c>
      <c r="F35" s="7">
        <f>VLOOKUP(Prediction!B35,Data!$A$1:$F$7,2,)*C35*D35/1000</f>
        <v>8.75</v>
      </c>
      <c r="G35" s="7">
        <f>VLOOKUP(B35,Data!$A$1:$F$7,4,FALSE)*C35*D35/1000</f>
        <v>28.56</v>
      </c>
      <c r="H35" s="7">
        <f>VLOOKUP(B35,Data!$A$1:$G$7,7,FALSE)*C35</f>
        <v>36400</v>
      </c>
      <c r="I35" s="7">
        <f t="shared" si="8"/>
        <v>35</v>
      </c>
      <c r="J35" s="7"/>
      <c r="L35">
        <f t="shared" si="1"/>
        <v>34</v>
      </c>
      <c r="M35" s="9">
        <v>45726</v>
      </c>
      <c r="N35" s="7">
        <v>1.28</v>
      </c>
      <c r="O35" s="7">
        <v>2.512</v>
      </c>
      <c r="P35" s="7"/>
      <c r="T35">
        <f t="shared" si="2"/>
        <v>34</v>
      </c>
      <c r="U35" s="7">
        <v>5.43</v>
      </c>
      <c r="V35" s="7">
        <f t="shared" si="3"/>
        <v>10.147857142857143</v>
      </c>
      <c r="W35" s="7">
        <v>16.463999999999999</v>
      </c>
      <c r="X35" s="7">
        <f t="shared" si="4"/>
        <v>26.707142857142856</v>
      </c>
    </row>
    <row r="36" spans="1:24" x14ac:dyDescent="0.3">
      <c r="A36" s="2">
        <v>45701</v>
      </c>
      <c r="B36" t="s">
        <v>7</v>
      </c>
      <c r="C36" s="3">
        <v>7</v>
      </c>
      <c r="D36" s="3">
        <v>1</v>
      </c>
      <c r="E36" s="3" t="s">
        <v>232</v>
      </c>
      <c r="F36" s="7">
        <f>VLOOKUP(Prediction!B36,Data!$A$1:$F$7,2,)*C36*D36/1000</f>
        <v>1.75</v>
      </c>
      <c r="G36" s="7">
        <f>VLOOKUP(B36,Data!$A$1:$F$7,4,FALSE)*C36*D36/1000</f>
        <v>5.7119999999999997</v>
      </c>
      <c r="H36" s="7">
        <f>VLOOKUP(B36,Data!$A$1:$G$7,7,FALSE)*C36</f>
        <v>36400</v>
      </c>
      <c r="I36" s="7">
        <f t="shared" si="8"/>
        <v>7</v>
      </c>
      <c r="J36" s="7"/>
      <c r="L36">
        <f t="shared" si="1"/>
        <v>35</v>
      </c>
      <c r="M36" s="9">
        <v>45727</v>
      </c>
      <c r="N36" s="7">
        <v>5.43</v>
      </c>
      <c r="O36" s="7">
        <v>16.463999999999999</v>
      </c>
      <c r="P36" s="7"/>
      <c r="T36">
        <f t="shared" si="2"/>
        <v>35</v>
      </c>
      <c r="U36" s="7">
        <v>1.25</v>
      </c>
      <c r="V36" s="7">
        <f t="shared" si="3"/>
        <v>8.5035714285714281</v>
      </c>
      <c r="W36" s="7">
        <v>4.08</v>
      </c>
      <c r="X36" s="7">
        <f t="shared" si="4"/>
        <v>22.41114285714286</v>
      </c>
    </row>
    <row r="37" spans="1:24" x14ac:dyDescent="0.3">
      <c r="A37" s="2">
        <v>45701</v>
      </c>
      <c r="B37" t="s">
        <v>7</v>
      </c>
      <c r="C37" s="3">
        <v>5</v>
      </c>
      <c r="D37" s="3">
        <v>1</v>
      </c>
      <c r="E37" s="3" t="s">
        <v>252</v>
      </c>
      <c r="F37" s="7">
        <f>VLOOKUP(Prediction!B37,Data!$A$1:$F$7,2,)*C37*D37/1000</f>
        <v>1.25</v>
      </c>
      <c r="G37" s="7">
        <f>VLOOKUP(B37,Data!$A$1:$F$7,4,FALSE)*C37*D37/1000</f>
        <v>4.08</v>
      </c>
      <c r="H37" s="7">
        <f>VLOOKUP(B37,Data!$A$1:$G$7,7,FALSE)*C37</f>
        <v>26000</v>
      </c>
      <c r="I37" s="7">
        <f t="shared" si="8"/>
        <v>5</v>
      </c>
      <c r="J37" s="7"/>
      <c r="L37">
        <f t="shared" si="1"/>
        <v>36</v>
      </c>
      <c r="M37" s="9">
        <v>45729</v>
      </c>
      <c r="N37" s="7">
        <v>1.25</v>
      </c>
      <c r="O37" s="7">
        <v>4.08</v>
      </c>
      <c r="P37" s="7"/>
      <c r="T37">
        <f t="shared" si="2"/>
        <v>36</v>
      </c>
      <c r="U37" s="7">
        <v>12.765000000000001</v>
      </c>
      <c r="V37" s="7">
        <f t="shared" si="3"/>
        <v>8.757142857142858</v>
      </c>
      <c r="W37" s="7">
        <v>37.295999999999999</v>
      </c>
      <c r="X37" s="7">
        <f t="shared" si="4"/>
        <v>23.031142857142857</v>
      </c>
    </row>
    <row r="38" spans="1:24" x14ac:dyDescent="0.3">
      <c r="A38" s="2">
        <v>45701</v>
      </c>
      <c r="B38" t="s">
        <v>7</v>
      </c>
      <c r="C38" s="3">
        <v>5.5</v>
      </c>
      <c r="D38" s="3">
        <v>1</v>
      </c>
      <c r="E38" s="3" t="s">
        <v>252</v>
      </c>
      <c r="F38" s="7">
        <f>VLOOKUP(Prediction!B38,Data!$A$1:$F$7,2,)*C38*D38/1000</f>
        <v>1.375</v>
      </c>
      <c r="G38" s="7">
        <f>VLOOKUP(B38,Data!$A$1:$F$7,4,FALSE)*C38*D38/1000</f>
        <v>4.4880000000000004</v>
      </c>
      <c r="H38" s="7">
        <f>VLOOKUP(B38,Data!$A$1:$G$7,7,FALSE)*C38</f>
        <v>28600</v>
      </c>
      <c r="I38" s="7">
        <f t="shared" si="8"/>
        <v>5.5</v>
      </c>
      <c r="J38" s="7"/>
      <c r="L38">
        <f t="shared" si="1"/>
        <v>37</v>
      </c>
      <c r="M38" s="9">
        <v>45730</v>
      </c>
      <c r="N38" s="7">
        <v>12.765000000000001</v>
      </c>
      <c r="O38" s="7">
        <v>37.295999999999999</v>
      </c>
      <c r="P38" s="7"/>
      <c r="T38">
        <f t="shared" si="2"/>
        <v>37</v>
      </c>
      <c r="U38" s="7">
        <v>17.11</v>
      </c>
      <c r="V38" s="7">
        <f t="shared" si="3"/>
        <v>8.6864285714285714</v>
      </c>
      <c r="W38" s="7">
        <v>52.821999999999996</v>
      </c>
      <c r="X38" s="7">
        <f t="shared" si="4"/>
        <v>24.397428571428573</v>
      </c>
    </row>
    <row r="39" spans="1:24" x14ac:dyDescent="0.3">
      <c r="A39" s="2">
        <v>45702</v>
      </c>
      <c r="B39" t="s">
        <v>13</v>
      </c>
      <c r="C39" s="3">
        <v>7</v>
      </c>
      <c r="D39" s="3">
        <v>2</v>
      </c>
      <c r="E39" s="3" t="s">
        <v>222</v>
      </c>
      <c r="F39" s="7">
        <f>VLOOKUP(Prediction!B39,Data!$A$1:$F$7,2,)*C39*D39/1000</f>
        <v>3.64</v>
      </c>
      <c r="G39" s="7">
        <f>VLOOKUP(B39,Data!$A$1:$F$7,4,FALSE)*C39*D39/1000</f>
        <v>10.038</v>
      </c>
      <c r="H39" s="7">
        <f>VLOOKUP(B39,Data!$A$1:$G$7,7,FALSE)*C39</f>
        <v>30100</v>
      </c>
      <c r="I39" s="7">
        <f t="shared" si="8"/>
        <v>14</v>
      </c>
      <c r="J39" s="7"/>
      <c r="L39">
        <f t="shared" si="1"/>
        <v>38</v>
      </c>
      <c r="M39" s="9">
        <v>45732</v>
      </c>
      <c r="N39" s="7">
        <v>17.11</v>
      </c>
      <c r="O39" s="7">
        <v>52.821999999999996</v>
      </c>
      <c r="P39" s="7"/>
      <c r="T39">
        <f t="shared" si="2"/>
        <v>38</v>
      </c>
      <c r="U39" s="7">
        <v>4.2549999999999999</v>
      </c>
      <c r="V39" s="7">
        <f t="shared" si="3"/>
        <v>7.1628571428571428</v>
      </c>
      <c r="W39" s="7">
        <v>12.432</v>
      </c>
      <c r="X39" s="7">
        <f t="shared" si="4"/>
        <v>21.303714285714282</v>
      </c>
    </row>
    <row r="40" spans="1:24" x14ac:dyDescent="0.3">
      <c r="A40" s="2">
        <v>45702</v>
      </c>
      <c r="B40" t="s">
        <v>7</v>
      </c>
      <c r="C40" s="3">
        <v>7</v>
      </c>
      <c r="D40" s="3">
        <v>15</v>
      </c>
      <c r="E40" s="3" t="s">
        <v>178</v>
      </c>
      <c r="F40" s="7">
        <f>VLOOKUP(Prediction!B40,Data!$A$1:$F$7,2,)*C40*D40/1000</f>
        <v>26.25</v>
      </c>
      <c r="G40" s="7">
        <f>VLOOKUP(B40,Data!$A$1:$F$7,4,FALSE)*C40*D40/1000</f>
        <v>85.68</v>
      </c>
      <c r="H40" s="7">
        <f>VLOOKUP(B40,Data!$A$1:$G$7,7,FALSE)*C40</f>
        <v>36400</v>
      </c>
      <c r="I40" s="7">
        <f t="shared" si="8"/>
        <v>105</v>
      </c>
      <c r="J40" s="7"/>
      <c r="L40">
        <f t="shared" si="1"/>
        <v>39</v>
      </c>
      <c r="M40" s="9">
        <v>45733</v>
      </c>
      <c r="N40" s="7">
        <v>4.2549999999999999</v>
      </c>
      <c r="O40" s="7">
        <v>12.432</v>
      </c>
      <c r="P40" s="7"/>
      <c r="T40">
        <f t="shared" si="2"/>
        <v>39</v>
      </c>
      <c r="U40" s="7">
        <v>6.92</v>
      </c>
      <c r="V40" s="7">
        <f t="shared" si="3"/>
        <v>7.0014285714285718</v>
      </c>
      <c r="W40" s="7">
        <v>15.024000000000001</v>
      </c>
      <c r="X40" s="7">
        <f t="shared" si="4"/>
        <v>20.09</v>
      </c>
    </row>
    <row r="41" spans="1:24" x14ac:dyDescent="0.3">
      <c r="A41" s="2">
        <v>45702</v>
      </c>
      <c r="B41" t="s">
        <v>7</v>
      </c>
      <c r="C41" s="3">
        <v>7</v>
      </c>
      <c r="D41" s="3">
        <v>2</v>
      </c>
      <c r="E41" s="3" t="s">
        <v>177</v>
      </c>
      <c r="F41" s="7">
        <f>VLOOKUP(Prediction!B41,Data!$A$1:$F$7,2,)*C41*D41/1000</f>
        <v>3.5</v>
      </c>
      <c r="G41" s="7">
        <f>VLOOKUP(B41,Data!$A$1:$F$7,4,FALSE)*C41*D41/1000</f>
        <v>11.423999999999999</v>
      </c>
      <c r="H41" s="7">
        <f>VLOOKUP(B41,Data!$A$1:$G$7,7,FALSE)*C41</f>
        <v>36400</v>
      </c>
      <c r="I41" s="7">
        <f t="shared" si="8"/>
        <v>14</v>
      </c>
      <c r="J41" s="7"/>
      <c r="L41">
        <f t="shared" si="1"/>
        <v>40</v>
      </c>
      <c r="M41" s="9">
        <v>45734</v>
      </c>
      <c r="N41" s="7">
        <v>6.92</v>
      </c>
      <c r="O41" s="7">
        <v>15.024000000000001</v>
      </c>
      <c r="P41" s="7"/>
      <c r="T41">
        <f t="shared" si="2"/>
        <v>40</v>
      </c>
      <c r="U41" s="7">
        <v>4.16</v>
      </c>
      <c r="V41" s="7">
        <f t="shared" si="3"/>
        <v>7.4128571428571428</v>
      </c>
      <c r="W41" s="7">
        <v>8.1639999999999997</v>
      </c>
      <c r="X41" s="7">
        <f t="shared" si="4"/>
        <v>20.89742857142857</v>
      </c>
    </row>
    <row r="42" spans="1:24" x14ac:dyDescent="0.3">
      <c r="A42" s="2">
        <v>45702</v>
      </c>
      <c r="B42" t="s">
        <v>7</v>
      </c>
      <c r="C42" s="3">
        <v>7</v>
      </c>
      <c r="D42" s="3">
        <v>1</v>
      </c>
      <c r="E42" s="3" t="s">
        <v>232</v>
      </c>
      <c r="F42" s="7">
        <f>VLOOKUP(Prediction!B42,Data!$A$1:$F$7,2,)*C42*D42/1000</f>
        <v>1.75</v>
      </c>
      <c r="G42" s="7">
        <f>VLOOKUP(B42,Data!$A$1:$F$7,4,FALSE)*C42*D42/1000</f>
        <v>5.7119999999999997</v>
      </c>
      <c r="H42" s="7">
        <f>VLOOKUP(B42,Data!$A$1:$G$7,7,FALSE)*C42</f>
        <v>36400</v>
      </c>
      <c r="I42" s="7">
        <f t="shared" si="8"/>
        <v>7</v>
      </c>
      <c r="J42" s="7"/>
      <c r="L42">
        <f t="shared" si="1"/>
        <v>41</v>
      </c>
      <c r="M42" s="9">
        <v>45735</v>
      </c>
      <c r="N42" s="7">
        <v>4.16</v>
      </c>
      <c r="O42" s="7">
        <v>8.1639999999999997</v>
      </c>
      <c r="P42" s="7"/>
      <c r="T42">
        <f t="shared" si="2"/>
        <v>41</v>
      </c>
      <c r="U42" s="7">
        <v>4.37</v>
      </c>
      <c r="V42" s="7">
        <f t="shared" si="3"/>
        <v>7.2614285714285725</v>
      </c>
      <c r="W42" s="7">
        <v>12.768000000000001</v>
      </c>
      <c r="X42" s="7">
        <f t="shared" si="4"/>
        <v>20.369428571428568</v>
      </c>
    </row>
    <row r="43" spans="1:24" x14ac:dyDescent="0.3">
      <c r="A43" s="2">
        <v>45702</v>
      </c>
      <c r="B43" t="s">
        <v>13</v>
      </c>
      <c r="C43" s="3">
        <v>3.5</v>
      </c>
      <c r="D43" s="3">
        <v>1</v>
      </c>
      <c r="E43" s="3" t="s">
        <v>222</v>
      </c>
      <c r="F43" s="7">
        <f>VLOOKUP(Prediction!B43,Data!$A$1:$F$7,2,)*C43*D43/1000</f>
        <v>0.91</v>
      </c>
      <c r="G43" s="7">
        <f>VLOOKUP(B43,Data!$A$1:$F$7,4,FALSE)*C43*D43/1000</f>
        <v>2.5095000000000001</v>
      </c>
      <c r="H43" s="7">
        <f>VLOOKUP(B43,Data!$A$1:$G$7,7,FALSE)*C43</f>
        <v>15050</v>
      </c>
      <c r="I43" s="7">
        <f t="shared" si="8"/>
        <v>3.5</v>
      </c>
      <c r="J43" s="7"/>
      <c r="L43">
        <f t="shared" si="1"/>
        <v>42</v>
      </c>
      <c r="M43" s="9">
        <v>45736</v>
      </c>
      <c r="N43" s="7">
        <v>4.37</v>
      </c>
      <c r="O43" s="7">
        <v>12.768000000000001</v>
      </c>
      <c r="P43" s="7"/>
      <c r="T43">
        <f t="shared" si="2"/>
        <v>42</v>
      </c>
      <c r="U43" s="7">
        <v>13.29</v>
      </c>
      <c r="V43" s="7">
        <f t="shared" si="3"/>
        <v>8.9814285714285713</v>
      </c>
      <c r="W43" s="7">
        <v>34.868499999999997</v>
      </c>
      <c r="X43" s="7">
        <f t="shared" si="4"/>
        <v>24.767785714285715</v>
      </c>
    </row>
    <row r="44" spans="1:24" x14ac:dyDescent="0.3">
      <c r="A44" s="2">
        <v>45703</v>
      </c>
      <c r="B44" t="s">
        <v>4</v>
      </c>
      <c r="C44" s="3">
        <v>7.5</v>
      </c>
      <c r="D44" s="3">
        <v>1</v>
      </c>
      <c r="E44" s="3" t="s">
        <v>197</v>
      </c>
      <c r="F44" s="7">
        <f>VLOOKUP(Prediction!B44,Data!$A$1:$F$7,2,)*C44*D44/1000</f>
        <v>1.7250000000000001</v>
      </c>
      <c r="G44" s="7">
        <f>VLOOKUP(B44,Data!$A$1:$F$7,4,FALSE)*C44*D44/1000</f>
        <v>5.04</v>
      </c>
      <c r="H44" s="7">
        <f>VLOOKUP(B44,Data!$A$1:$G$7,7,FALSE)*C44</f>
        <v>37500</v>
      </c>
      <c r="I44" s="7">
        <f t="shared" si="8"/>
        <v>7.5</v>
      </c>
      <c r="J44" s="7"/>
      <c r="L44">
        <f t="shared" si="1"/>
        <v>43</v>
      </c>
      <c r="M44" s="9">
        <v>45738</v>
      </c>
      <c r="N44" s="7">
        <v>13.29</v>
      </c>
      <c r="O44" s="7">
        <v>34.868499999999997</v>
      </c>
      <c r="P44" s="7"/>
      <c r="T44">
        <f t="shared" si="2"/>
        <v>43</v>
      </c>
      <c r="U44" s="7">
        <v>12.399999999999999</v>
      </c>
      <c r="V44" s="7">
        <f t="shared" si="3"/>
        <v>8.9292857142857134</v>
      </c>
      <c r="W44" s="7">
        <v>30.124000000000002</v>
      </c>
      <c r="X44" s="7">
        <f t="shared" si="4"/>
        <v>23.743214285714284</v>
      </c>
    </row>
    <row r="45" spans="1:24" x14ac:dyDescent="0.3">
      <c r="A45" s="2">
        <v>45703</v>
      </c>
      <c r="B45" t="s">
        <v>7</v>
      </c>
      <c r="C45" s="3">
        <v>7</v>
      </c>
      <c r="D45" s="3">
        <v>1</v>
      </c>
      <c r="E45" s="3" t="s">
        <v>232</v>
      </c>
      <c r="F45" s="7">
        <f>VLOOKUP(Prediction!B45,Data!$A$1:$F$7,2,)*C45*D45/1000</f>
        <v>1.75</v>
      </c>
      <c r="G45" s="7">
        <f>VLOOKUP(B45,Data!$A$1:$F$7,4,FALSE)*C45*D45/1000</f>
        <v>5.7119999999999997</v>
      </c>
      <c r="H45" s="7">
        <f>VLOOKUP(B45,Data!$A$1:$G$7,7,FALSE)*C45</f>
        <v>36400</v>
      </c>
      <c r="I45" s="7">
        <f t="shared" si="8"/>
        <v>7</v>
      </c>
      <c r="J45" s="7"/>
      <c r="L45">
        <f t="shared" si="1"/>
        <v>44</v>
      </c>
      <c r="M45" s="9">
        <v>45739</v>
      </c>
      <c r="N45" s="7">
        <v>12.399999999999999</v>
      </c>
      <c r="O45" s="7">
        <v>30.124000000000002</v>
      </c>
      <c r="P45" s="7"/>
      <c r="T45">
        <f t="shared" si="2"/>
        <v>44</v>
      </c>
      <c r="U45" s="7">
        <v>17.71</v>
      </c>
      <c r="V45" s="7">
        <f t="shared" si="3"/>
        <v>9.0150000000000006</v>
      </c>
      <c r="W45" s="7">
        <v>51.744</v>
      </c>
      <c r="X45" s="7">
        <f t="shared" si="4"/>
        <v>23.589214285714288</v>
      </c>
    </row>
    <row r="46" spans="1:24" x14ac:dyDescent="0.3">
      <c r="A46" s="2">
        <v>45704</v>
      </c>
      <c r="B46" t="s">
        <v>4</v>
      </c>
      <c r="C46" s="3">
        <v>8.5</v>
      </c>
      <c r="D46" s="3">
        <v>1</v>
      </c>
      <c r="E46" s="3" t="s">
        <v>176</v>
      </c>
      <c r="F46" s="7">
        <f>VLOOKUP(Prediction!B46,Data!$A$1:$F$7,2,)*C46*D46/1000</f>
        <v>1.9550000000000001</v>
      </c>
      <c r="G46" s="7">
        <f>VLOOKUP(B46,Data!$A$1:$F$7,4,FALSE)*C46*D46/1000</f>
        <v>5.7119999999999997</v>
      </c>
      <c r="H46" s="7">
        <f>VLOOKUP(B46,Data!$A$1:$G$7,7,FALSE)*C46</f>
        <v>42500</v>
      </c>
      <c r="I46" s="7">
        <f t="shared" si="8"/>
        <v>8.5</v>
      </c>
      <c r="J46" s="7"/>
      <c r="L46">
        <f t="shared" si="1"/>
        <v>45</v>
      </c>
      <c r="M46" s="9">
        <v>45740</v>
      </c>
      <c r="N46" s="7">
        <v>17.71</v>
      </c>
      <c r="O46" s="7">
        <v>51.744</v>
      </c>
      <c r="P46" s="7"/>
      <c r="T46">
        <f t="shared" si="2"/>
        <v>45</v>
      </c>
      <c r="U46" s="7">
        <v>16.37</v>
      </c>
      <c r="V46" s="7">
        <f t="shared" si="3"/>
        <v>10.745714285714286</v>
      </c>
      <c r="W46" s="7">
        <v>39.847999999999999</v>
      </c>
      <c r="X46" s="7">
        <f t="shared" si="4"/>
        <v>27.505785714285715</v>
      </c>
    </row>
    <row r="47" spans="1:24" x14ac:dyDescent="0.3">
      <c r="A47" s="2">
        <v>45705</v>
      </c>
      <c r="B47" t="s">
        <v>4</v>
      </c>
      <c r="C47" s="3">
        <v>5</v>
      </c>
      <c r="D47" s="3">
        <v>1</v>
      </c>
      <c r="E47" s="3" t="s">
        <v>197</v>
      </c>
      <c r="F47" s="7">
        <f>VLOOKUP(Prediction!B47,Data!$A$1:$F$7,2,)*C47*D47/1000</f>
        <v>1.1499999999999999</v>
      </c>
      <c r="G47" s="7">
        <f>VLOOKUP(B47,Data!$A$1:$F$7,4,FALSE)*C47*D47/1000</f>
        <v>3.36</v>
      </c>
      <c r="H47" s="7">
        <f>VLOOKUP(B47,Data!$A$1:$G$7,7,FALSE)*C47</f>
        <v>25000</v>
      </c>
      <c r="I47" s="7">
        <f t="shared" si="8"/>
        <v>5</v>
      </c>
      <c r="J47" s="7"/>
      <c r="L47">
        <f t="shared" si="1"/>
        <v>46</v>
      </c>
      <c r="M47" s="9">
        <v>45741</v>
      </c>
      <c r="N47" s="7">
        <v>16.37</v>
      </c>
      <c r="O47" s="7">
        <v>39.847999999999999</v>
      </c>
      <c r="P47" s="7"/>
      <c r="T47">
        <f t="shared" si="2"/>
        <v>46</v>
      </c>
      <c r="U47" s="7">
        <v>12.845000000000001</v>
      </c>
      <c r="V47" s="7">
        <f t="shared" si="3"/>
        <v>11.592142857142857</v>
      </c>
      <c r="W47" s="7">
        <v>40.823999999999998</v>
      </c>
      <c r="X47" s="7">
        <f t="shared" si="4"/>
        <v>31.191500000000001</v>
      </c>
    </row>
    <row r="48" spans="1:24" x14ac:dyDescent="0.3">
      <c r="A48" s="2">
        <v>45705</v>
      </c>
      <c r="B48" t="s">
        <v>4</v>
      </c>
      <c r="C48" s="3">
        <v>7</v>
      </c>
      <c r="D48" s="3">
        <v>5</v>
      </c>
      <c r="E48" s="3" t="s">
        <v>226</v>
      </c>
      <c r="F48" s="7">
        <f>VLOOKUP(Prediction!B48,Data!$A$1:$F$7,2,)*C48*D48/1000</f>
        <v>8.0500000000000007</v>
      </c>
      <c r="G48" s="7">
        <f>VLOOKUP(B48,Data!$A$1:$F$7,4,FALSE)*C48*D48/1000</f>
        <v>23.52</v>
      </c>
      <c r="H48" s="7">
        <f>VLOOKUP(B48,Data!$A$1:$G$7,7,FALSE)*C48</f>
        <v>35000</v>
      </c>
      <c r="I48" s="7">
        <f t="shared" si="8"/>
        <v>35</v>
      </c>
      <c r="J48" s="7"/>
      <c r="L48">
        <f t="shared" si="1"/>
        <v>47</v>
      </c>
      <c r="M48" s="9">
        <v>45742</v>
      </c>
      <c r="N48" s="7">
        <v>12.845000000000001</v>
      </c>
      <c r="O48" s="7">
        <v>40.823999999999998</v>
      </c>
      <c r="P48" s="7"/>
      <c r="T48">
        <f t="shared" si="2"/>
        <v>47</v>
      </c>
      <c r="U48" s="7">
        <v>13.75</v>
      </c>
      <c r="V48" s="7">
        <f t="shared" si="3"/>
        <v>12.962142857142856</v>
      </c>
      <c r="W48" s="7">
        <v>44.879999999999995</v>
      </c>
      <c r="X48" s="7">
        <f t="shared" si="4"/>
        <v>36.436642857142864</v>
      </c>
    </row>
    <row r="49" spans="1:24" x14ac:dyDescent="0.3">
      <c r="A49" s="2">
        <v>45706</v>
      </c>
      <c r="B49" t="s">
        <v>4</v>
      </c>
      <c r="C49" s="3">
        <v>7</v>
      </c>
      <c r="D49" s="3">
        <v>2</v>
      </c>
      <c r="E49" s="3" t="s">
        <v>226</v>
      </c>
      <c r="F49" s="7">
        <f>VLOOKUP(Prediction!B49,Data!$A$1:$F$7,2,)*C49*D49/1000</f>
        <v>3.22</v>
      </c>
      <c r="G49" s="7">
        <f>VLOOKUP(B49,Data!$A$1:$F$7,4,FALSE)*C49*D49/1000</f>
        <v>9.4079999999999995</v>
      </c>
      <c r="H49" s="7">
        <f>VLOOKUP(B49,Data!$A$1:$G$7,7,FALSE)*C49</f>
        <v>35000</v>
      </c>
      <c r="I49" s="7">
        <f t="shared" si="8"/>
        <v>14</v>
      </c>
      <c r="J49" s="7"/>
      <c r="L49">
        <f t="shared" si="1"/>
        <v>48</v>
      </c>
      <c r="M49" s="9">
        <v>45743</v>
      </c>
      <c r="N49" s="7">
        <v>13.75</v>
      </c>
      <c r="O49" s="7">
        <v>44.879999999999995</v>
      </c>
      <c r="P49" s="7"/>
      <c r="T49">
        <f t="shared" si="2"/>
        <v>48</v>
      </c>
      <c r="U49" s="7">
        <v>28.42</v>
      </c>
      <c r="V49" s="7">
        <f t="shared" si="3"/>
        <v>16.397857142857141</v>
      </c>
      <c r="W49" s="7">
        <v>79.591999999999999</v>
      </c>
      <c r="X49" s="7">
        <f t="shared" si="4"/>
        <v>45.982928571428566</v>
      </c>
    </row>
    <row r="50" spans="1:24" x14ac:dyDescent="0.3">
      <c r="A50" s="2">
        <v>45706</v>
      </c>
      <c r="B50" t="s">
        <v>9</v>
      </c>
      <c r="C50" s="3">
        <v>7</v>
      </c>
      <c r="D50" s="3">
        <v>3</v>
      </c>
      <c r="E50" s="3" t="s">
        <v>214</v>
      </c>
      <c r="F50" s="7">
        <f>VLOOKUP(Prediction!B50,Data!$A$1:$F$7,2,)*C50*D50/1000</f>
        <v>6.72</v>
      </c>
      <c r="G50" s="7">
        <f>VLOOKUP(B50,Data!$A$1:$F$7,4,FALSE)*C50*D50/1000</f>
        <v>13.188000000000001</v>
      </c>
      <c r="H50" s="7">
        <f>VLOOKUP(B50,Data!$A$1:$G$7,7,FALSE)*C50</f>
        <v>32900</v>
      </c>
      <c r="I50" s="7">
        <f t="shared" si="8"/>
        <v>21</v>
      </c>
      <c r="J50" s="7"/>
      <c r="L50">
        <f t="shared" si="1"/>
        <v>49</v>
      </c>
      <c r="M50" s="9">
        <v>45744</v>
      </c>
      <c r="N50" s="7">
        <v>28.42</v>
      </c>
      <c r="O50" s="7">
        <v>79.591999999999999</v>
      </c>
      <c r="P50" s="7"/>
      <c r="T50">
        <f t="shared" si="2"/>
        <v>49</v>
      </c>
      <c r="U50" s="7">
        <v>3.22</v>
      </c>
      <c r="V50" s="7">
        <f t="shared" si="3"/>
        <v>14.959285714285715</v>
      </c>
      <c r="W50" s="7">
        <v>9.4079999999999995</v>
      </c>
      <c r="X50" s="7">
        <f t="shared" si="4"/>
        <v>42.345714285714287</v>
      </c>
    </row>
    <row r="51" spans="1:24" x14ac:dyDescent="0.3">
      <c r="A51" s="2">
        <v>45707</v>
      </c>
      <c r="B51" t="s">
        <v>4</v>
      </c>
      <c r="C51" s="3">
        <v>7</v>
      </c>
      <c r="D51" s="3">
        <v>4</v>
      </c>
      <c r="E51" s="3" t="s">
        <v>224</v>
      </c>
      <c r="F51" s="7">
        <f>VLOOKUP(Prediction!B51,Data!$A$1:$F$7,2,)*C51*D51/1000</f>
        <v>6.44</v>
      </c>
      <c r="G51" s="7">
        <f>VLOOKUP(B51,Data!$A$1:$F$7,4,FALSE)*C51*D51/1000</f>
        <v>18.815999999999999</v>
      </c>
      <c r="H51" s="7">
        <f>VLOOKUP(B51,Data!$A$1:$G$7,7,FALSE)*C51</f>
        <v>35000</v>
      </c>
      <c r="I51" s="7">
        <f t="shared" si="8"/>
        <v>28</v>
      </c>
      <c r="J51" s="7"/>
      <c r="L51">
        <f t="shared" si="1"/>
        <v>50</v>
      </c>
      <c r="M51" s="9">
        <v>45745</v>
      </c>
      <c r="N51" s="7">
        <v>57</v>
      </c>
      <c r="O51" s="10">
        <v>186.048</v>
      </c>
      <c r="P51" s="7"/>
      <c r="T51">
        <f t="shared" si="2"/>
        <v>50</v>
      </c>
      <c r="U51" s="7">
        <v>26.16</v>
      </c>
      <c r="V51" s="7">
        <f t="shared" si="3"/>
        <v>16.925000000000001</v>
      </c>
      <c r="W51" s="7">
        <v>53.104000000000006</v>
      </c>
      <c r="X51" s="7">
        <f t="shared" si="4"/>
        <v>45.628571428571426</v>
      </c>
    </row>
    <row r="52" spans="1:24" x14ac:dyDescent="0.3">
      <c r="A52" s="2">
        <v>45707</v>
      </c>
      <c r="B52" t="s">
        <v>9</v>
      </c>
      <c r="C52" s="3">
        <v>7</v>
      </c>
      <c r="D52" s="3">
        <v>4</v>
      </c>
      <c r="E52" s="3" t="s">
        <v>248</v>
      </c>
      <c r="F52" s="7">
        <f>VLOOKUP(Prediction!B52,Data!$A$1:$F$7,2,)*C52*D52/1000</f>
        <v>8.9600000000000009</v>
      </c>
      <c r="G52" s="7">
        <f>VLOOKUP(B52,Data!$A$1:$F$7,4,FALSE)*C52*D52/1000</f>
        <v>17.584</v>
      </c>
      <c r="H52" s="7">
        <f>VLOOKUP(B52,Data!$A$1:$G$7,7,FALSE)*C52</f>
        <v>32900</v>
      </c>
      <c r="I52" s="7">
        <f t="shared" si="8"/>
        <v>28</v>
      </c>
      <c r="J52" s="7"/>
      <c r="L52">
        <f t="shared" si="1"/>
        <v>51</v>
      </c>
      <c r="M52" s="9">
        <v>45748</v>
      </c>
      <c r="N52" s="7">
        <v>3.22</v>
      </c>
      <c r="O52" s="7">
        <v>9.4079999999999995</v>
      </c>
      <c r="P52" s="7"/>
      <c r="T52">
        <f t="shared" si="2"/>
        <v>51</v>
      </c>
      <c r="U52" s="7">
        <v>6.72</v>
      </c>
      <c r="V52" s="7">
        <f t="shared" si="3"/>
        <v>15.355</v>
      </c>
      <c r="W52" s="7">
        <v>13.188000000000001</v>
      </c>
      <c r="X52" s="7">
        <f t="shared" si="4"/>
        <v>40.120571428571431</v>
      </c>
    </row>
    <row r="53" spans="1:24" x14ac:dyDescent="0.3">
      <c r="A53" s="2">
        <v>45708</v>
      </c>
      <c r="B53" t="s">
        <v>9</v>
      </c>
      <c r="C53" s="3">
        <v>7</v>
      </c>
      <c r="D53" s="3">
        <v>4</v>
      </c>
      <c r="E53" s="3" t="s">
        <v>248</v>
      </c>
      <c r="F53" s="7">
        <f>VLOOKUP(Prediction!B53,Data!$A$1:$F$7,2,)*C53*D53/1000</f>
        <v>8.9600000000000009</v>
      </c>
      <c r="G53" s="7">
        <f>VLOOKUP(B53,Data!$A$1:$F$7,4,FALSE)*C53*D53/1000</f>
        <v>17.584</v>
      </c>
      <c r="H53" s="7">
        <f>VLOOKUP(B53,Data!$A$1:$G$7,7,FALSE)*C53</f>
        <v>32900</v>
      </c>
      <c r="I53" s="7">
        <f t="shared" si="8"/>
        <v>28</v>
      </c>
      <c r="J53" s="7"/>
      <c r="L53">
        <f t="shared" si="1"/>
        <v>52</v>
      </c>
      <c r="M53" s="9">
        <v>45749</v>
      </c>
      <c r="N53" s="7">
        <v>26.16</v>
      </c>
      <c r="O53" s="7">
        <v>53.104000000000006</v>
      </c>
      <c r="P53" s="7"/>
      <c r="T53">
        <f t="shared" si="2"/>
        <v>52</v>
      </c>
      <c r="U53" s="7">
        <v>19.745000000000001</v>
      </c>
      <c r="V53" s="7">
        <f t="shared" si="3"/>
        <v>15.837142857142856</v>
      </c>
      <c r="W53" s="7">
        <v>60.719000000000008</v>
      </c>
      <c r="X53" s="7">
        <f t="shared" si="4"/>
        <v>43.102142857142852</v>
      </c>
    </row>
    <row r="54" spans="1:24" x14ac:dyDescent="0.3">
      <c r="A54" s="2">
        <v>45708</v>
      </c>
      <c r="B54" t="s">
        <v>7</v>
      </c>
      <c r="C54" s="3">
        <v>7</v>
      </c>
      <c r="D54" s="3">
        <v>1</v>
      </c>
      <c r="E54" s="3" t="s">
        <v>232</v>
      </c>
      <c r="F54" s="7">
        <f>VLOOKUP(Prediction!B54,Data!$A$1:$F$7,2,)*C54*D54/1000</f>
        <v>1.75</v>
      </c>
      <c r="G54" s="7">
        <f>VLOOKUP(B54,Data!$A$1:$F$7,4,FALSE)*C54*D54/1000</f>
        <v>5.7119999999999997</v>
      </c>
      <c r="H54" s="7">
        <f>VLOOKUP(B54,Data!$A$1:$G$7,7,FALSE)*C54</f>
        <v>36400</v>
      </c>
      <c r="I54" s="7">
        <f t="shared" si="8"/>
        <v>7</v>
      </c>
      <c r="J54" s="7"/>
      <c r="L54">
        <f t="shared" si="1"/>
        <v>53</v>
      </c>
      <c r="M54" s="9">
        <v>45752</v>
      </c>
      <c r="N54" s="7">
        <v>6.72</v>
      </c>
      <c r="O54" s="7">
        <v>13.188000000000001</v>
      </c>
      <c r="P54" s="7"/>
      <c r="T54">
        <f t="shared" si="2"/>
        <v>53</v>
      </c>
      <c r="U54" s="7">
        <v>10.790000000000001</v>
      </c>
      <c r="V54" s="7">
        <f t="shared" si="3"/>
        <v>15.543571428571429</v>
      </c>
      <c r="W54" s="7">
        <v>24.625</v>
      </c>
      <c r="X54" s="7">
        <f t="shared" si="4"/>
        <v>40.788000000000004</v>
      </c>
    </row>
    <row r="55" spans="1:24" x14ac:dyDescent="0.3">
      <c r="A55" s="2">
        <v>45709</v>
      </c>
      <c r="B55" t="s">
        <v>7</v>
      </c>
      <c r="C55" s="3">
        <v>6</v>
      </c>
      <c r="D55" s="3">
        <v>1</v>
      </c>
      <c r="E55" s="3" t="s">
        <v>232</v>
      </c>
      <c r="F55" s="7">
        <f>VLOOKUP(Prediction!B55,Data!$A$1:$F$7,2,)*C55*D55/1000</f>
        <v>1.5</v>
      </c>
      <c r="G55" s="7">
        <f>VLOOKUP(B55,Data!$A$1:$F$7,4,FALSE)*C55*D55/1000</f>
        <v>4.8959999999999999</v>
      </c>
      <c r="H55" s="7">
        <f>VLOOKUP(B55,Data!$A$1:$G$7,7,FALSE)*C55</f>
        <v>31200</v>
      </c>
      <c r="I55" s="7">
        <f t="shared" si="8"/>
        <v>6</v>
      </c>
      <c r="J55" s="7"/>
      <c r="L55">
        <f t="shared" si="1"/>
        <v>54</v>
      </c>
      <c r="M55" s="9">
        <v>45753</v>
      </c>
      <c r="N55" s="7">
        <v>55.2</v>
      </c>
      <c r="O55" s="10">
        <v>161.28</v>
      </c>
      <c r="P55" s="7"/>
      <c r="T55">
        <f t="shared" si="2"/>
        <v>54</v>
      </c>
      <c r="U55" s="7">
        <v>14.629999999999999</v>
      </c>
      <c r="V55" s="7">
        <f t="shared" si="3"/>
        <v>15.669285714285715</v>
      </c>
      <c r="W55" s="7">
        <v>39.521999999999998</v>
      </c>
      <c r="X55" s="7">
        <f t="shared" si="4"/>
        <v>40.022571428571432</v>
      </c>
    </row>
    <row r="56" spans="1:24" x14ac:dyDescent="0.3">
      <c r="A56" s="2">
        <v>45709</v>
      </c>
      <c r="B56" t="s">
        <v>9</v>
      </c>
      <c r="C56" s="3">
        <v>6</v>
      </c>
      <c r="D56" s="3">
        <v>7</v>
      </c>
      <c r="E56" s="3" t="s">
        <v>192</v>
      </c>
      <c r="F56" s="7">
        <f>VLOOKUP(Prediction!B56,Data!$A$1:$F$7,2,)*C56*D56/1000</f>
        <v>13.44</v>
      </c>
      <c r="G56" s="7">
        <f>VLOOKUP(B56,Data!$A$1:$F$7,4,FALSE)*C56*D56/1000</f>
        <v>26.376000000000001</v>
      </c>
      <c r="H56" s="7">
        <f>VLOOKUP(B56,Data!$A$1:$G$7,7,FALSE)*C56</f>
        <v>28200</v>
      </c>
      <c r="I56" s="7">
        <f t="shared" si="8"/>
        <v>42</v>
      </c>
      <c r="J56" s="7"/>
      <c r="L56">
        <f t="shared" si="1"/>
        <v>55</v>
      </c>
      <c r="M56" s="9">
        <v>45754</v>
      </c>
      <c r="N56" s="7">
        <v>19.745000000000001</v>
      </c>
      <c r="O56" s="7">
        <v>60.719000000000008</v>
      </c>
      <c r="P56" s="7"/>
      <c r="T56">
        <f t="shared" si="2"/>
        <v>55</v>
      </c>
      <c r="U56" s="7">
        <v>19.380000000000003</v>
      </c>
      <c r="V56" s="7">
        <f t="shared" si="3"/>
        <v>14.377857142857144</v>
      </c>
      <c r="W56" s="7">
        <v>41.122</v>
      </c>
      <c r="X56" s="7">
        <f t="shared" si="4"/>
        <v>34.526857142857139</v>
      </c>
    </row>
    <row r="57" spans="1:24" x14ac:dyDescent="0.3">
      <c r="A57" s="2">
        <v>45709</v>
      </c>
      <c r="B57" t="s">
        <v>9</v>
      </c>
      <c r="C57" s="3">
        <v>3</v>
      </c>
      <c r="D57" s="3">
        <v>1</v>
      </c>
      <c r="E57" s="3" t="s">
        <v>192</v>
      </c>
      <c r="F57" s="7">
        <f>VLOOKUP(Prediction!B57,Data!$A$1:$F$7,2,)*C57*D57/1000</f>
        <v>0.96</v>
      </c>
      <c r="G57" s="7">
        <f>VLOOKUP(B57,Data!$A$1:$F$7,4,FALSE)*C57*D57/1000</f>
        <v>1.8839999999999999</v>
      </c>
      <c r="H57" s="7">
        <f>VLOOKUP(B57,Data!$A$1:$G$7,7,FALSE)*C57</f>
        <v>14100</v>
      </c>
      <c r="I57" s="7">
        <f t="shared" si="8"/>
        <v>3</v>
      </c>
      <c r="J57" s="7"/>
      <c r="L57">
        <f t="shared" si="1"/>
        <v>56</v>
      </c>
      <c r="M57" s="9">
        <v>45755</v>
      </c>
      <c r="N57" s="7">
        <v>10.790000000000001</v>
      </c>
      <c r="O57" s="7">
        <v>24.625</v>
      </c>
      <c r="P57" s="7"/>
      <c r="T57">
        <f t="shared" si="2"/>
        <v>56</v>
      </c>
      <c r="U57" s="7">
        <v>15.045</v>
      </c>
      <c r="V57" s="7">
        <f t="shared" si="3"/>
        <v>16.067142857142859</v>
      </c>
      <c r="W57" s="7">
        <v>39.872</v>
      </c>
      <c r="X57" s="7">
        <f t="shared" si="4"/>
        <v>38.87885714285715</v>
      </c>
    </row>
    <row r="58" spans="1:24" x14ac:dyDescent="0.3">
      <c r="A58" s="2">
        <v>45709</v>
      </c>
      <c r="B58" t="s">
        <v>17</v>
      </c>
      <c r="C58" s="3">
        <v>7</v>
      </c>
      <c r="D58" s="3">
        <v>3</v>
      </c>
      <c r="E58" s="3" t="s">
        <v>211</v>
      </c>
      <c r="F58" s="7">
        <f>VLOOKUP(Prediction!B58,Data!$A$1:$F$7,2,)*C58*D58/1000</f>
        <v>4.41</v>
      </c>
      <c r="G58" s="7">
        <f>VLOOKUP(B58,Data!$A$1:$F$7,4,FALSE)*C58*D58/1000</f>
        <v>16.233000000000001</v>
      </c>
      <c r="H58" s="7">
        <f>VLOOKUP(B58,Data!$A$1:$G$7,7,FALSE)*C58</f>
        <v>28000</v>
      </c>
      <c r="I58" s="7">
        <f t="shared" si="8"/>
        <v>21</v>
      </c>
      <c r="J58" s="7"/>
      <c r="L58">
        <f t="shared" si="1"/>
        <v>57</v>
      </c>
      <c r="M58" s="9">
        <v>45757</v>
      </c>
      <c r="N58" s="7">
        <v>14.629999999999999</v>
      </c>
      <c r="O58" s="7">
        <v>39.521999999999998</v>
      </c>
      <c r="P58" s="7"/>
      <c r="T58">
        <f t="shared" si="2"/>
        <v>57</v>
      </c>
      <c r="U58" s="7">
        <v>2.3149999999999999</v>
      </c>
      <c r="V58" s="7">
        <f t="shared" si="3"/>
        <v>12.660714285714288</v>
      </c>
      <c r="W58" s="7">
        <v>7.32</v>
      </c>
      <c r="X58" s="7">
        <f t="shared" si="4"/>
        <v>32.338285714285711</v>
      </c>
    </row>
    <row r="59" spans="1:24" x14ac:dyDescent="0.3">
      <c r="A59" s="2">
        <v>45709</v>
      </c>
      <c r="B59" t="s">
        <v>17</v>
      </c>
      <c r="C59" s="3">
        <v>2.5</v>
      </c>
      <c r="D59" s="3">
        <v>1</v>
      </c>
      <c r="E59" s="3" t="s">
        <v>211</v>
      </c>
      <c r="F59" s="7">
        <f>VLOOKUP(Prediction!B59,Data!$A$1:$F$7,2,)*C59*D59/1000</f>
        <v>0.52500000000000002</v>
      </c>
      <c r="G59" s="7">
        <f>VLOOKUP(B59,Data!$A$1:$F$7,4,FALSE)*C59*D59/1000</f>
        <v>1.9325000000000001</v>
      </c>
      <c r="H59" s="7">
        <f>VLOOKUP(B59,Data!$A$1:$G$7,7,FALSE)*C59</f>
        <v>10000</v>
      </c>
      <c r="I59" s="7">
        <f t="shared" si="8"/>
        <v>2.5</v>
      </c>
      <c r="J59" s="7"/>
      <c r="L59">
        <f t="shared" si="1"/>
        <v>58</v>
      </c>
      <c r="M59" s="9">
        <v>45758</v>
      </c>
      <c r="N59" s="7">
        <v>19.380000000000003</v>
      </c>
      <c r="O59" s="7">
        <v>41.122</v>
      </c>
      <c r="P59" s="7"/>
      <c r="T59">
        <f t="shared" si="2"/>
        <v>58</v>
      </c>
      <c r="U59" s="7">
        <v>27.6</v>
      </c>
      <c r="V59" s="7">
        <f t="shared" si="3"/>
        <v>15.643571428571432</v>
      </c>
      <c r="W59" s="7">
        <v>77.50200000000001</v>
      </c>
      <c r="X59" s="7">
        <f t="shared" si="4"/>
        <v>41.526000000000003</v>
      </c>
    </row>
    <row r="60" spans="1:24" x14ac:dyDescent="0.3">
      <c r="A60" s="2">
        <v>45710</v>
      </c>
      <c r="B60" t="s">
        <v>7</v>
      </c>
      <c r="C60" s="3">
        <v>6</v>
      </c>
      <c r="D60" s="3">
        <v>1</v>
      </c>
      <c r="E60" s="3" t="s">
        <v>232</v>
      </c>
      <c r="F60" s="7">
        <f>VLOOKUP(Prediction!B60,Data!$A$1:$F$7,2,)*C60*D60/1000</f>
        <v>1.5</v>
      </c>
      <c r="G60" s="7">
        <f>VLOOKUP(B60,Data!$A$1:$F$7,4,FALSE)*C60*D60/1000</f>
        <v>4.8959999999999999</v>
      </c>
      <c r="H60" s="7">
        <f>VLOOKUP(B60,Data!$A$1:$G$7,7,FALSE)*C60</f>
        <v>31200</v>
      </c>
      <c r="I60" s="7">
        <f t="shared" si="8"/>
        <v>6</v>
      </c>
      <c r="J60" s="7"/>
      <c r="L60">
        <f t="shared" si="1"/>
        <v>59</v>
      </c>
      <c r="M60" s="9">
        <v>45759</v>
      </c>
      <c r="N60" s="7">
        <v>15.045</v>
      </c>
      <c r="O60" s="7">
        <v>39.872</v>
      </c>
      <c r="P60" s="7"/>
      <c r="T60">
        <f t="shared" si="2"/>
        <v>59</v>
      </c>
      <c r="U60" s="7">
        <v>6.5600000000000005</v>
      </c>
      <c r="V60" s="7">
        <f t="shared" si="3"/>
        <v>13.760000000000002</v>
      </c>
      <c r="W60" s="7">
        <v>12.874000000000001</v>
      </c>
      <c r="X60" s="7">
        <f t="shared" si="4"/>
        <v>34.690999999999995</v>
      </c>
    </row>
    <row r="61" spans="1:24" x14ac:dyDescent="0.3">
      <c r="A61" s="2">
        <v>45710</v>
      </c>
      <c r="B61" t="s">
        <v>9</v>
      </c>
      <c r="C61" s="3">
        <v>7</v>
      </c>
      <c r="D61" s="3">
        <v>1</v>
      </c>
      <c r="E61" s="3" t="s">
        <v>219</v>
      </c>
      <c r="F61" s="7">
        <f>VLOOKUP(Prediction!B61,Data!$A$1:$F$7,2,)*C61*D61/1000</f>
        <v>2.2400000000000002</v>
      </c>
      <c r="G61" s="7">
        <f>VLOOKUP(B61,Data!$A$1:$F$7,4,FALSE)*C61*D61/1000</f>
        <v>4.3959999999999999</v>
      </c>
      <c r="H61" s="7">
        <f>VLOOKUP(B61,Data!$A$1:$G$7,7,FALSE)*C61</f>
        <v>32900</v>
      </c>
      <c r="I61" s="7">
        <f t="shared" si="8"/>
        <v>7</v>
      </c>
      <c r="J61" s="7"/>
      <c r="L61">
        <f t="shared" si="1"/>
        <v>60</v>
      </c>
      <c r="M61" s="9">
        <v>45760</v>
      </c>
      <c r="N61" s="7">
        <v>2.3149999999999999</v>
      </c>
      <c r="O61" s="7">
        <v>7.32</v>
      </c>
      <c r="P61" s="7"/>
      <c r="T61">
        <f t="shared" si="2"/>
        <v>60</v>
      </c>
      <c r="U61" s="7">
        <v>5</v>
      </c>
      <c r="V61" s="7">
        <f t="shared" si="3"/>
        <v>12.932857142857143</v>
      </c>
      <c r="W61" s="7">
        <v>16.32</v>
      </c>
      <c r="X61" s="7">
        <f t="shared" si="4"/>
        <v>33.504571428571431</v>
      </c>
    </row>
    <row r="62" spans="1:24" x14ac:dyDescent="0.3">
      <c r="A62" s="2">
        <v>45710</v>
      </c>
      <c r="B62" t="s">
        <v>9</v>
      </c>
      <c r="C62" s="3">
        <v>4</v>
      </c>
      <c r="D62" s="3">
        <v>1</v>
      </c>
      <c r="E62" s="3" t="s">
        <v>219</v>
      </c>
      <c r="F62" s="7">
        <f>VLOOKUP(Prediction!B62,Data!$A$1:$F$7,2,)*C62*D62/1000</f>
        <v>1.28</v>
      </c>
      <c r="G62" s="7">
        <f>VLOOKUP(B62,Data!$A$1:$F$7,4,FALSE)*C62*D62/1000</f>
        <v>2.512</v>
      </c>
      <c r="H62" s="7">
        <f>VLOOKUP(B62,Data!$A$1:$G$7,7,FALSE)*C62</f>
        <v>18800</v>
      </c>
      <c r="I62" s="7">
        <f t="shared" si="8"/>
        <v>4</v>
      </c>
      <c r="J62" s="7"/>
      <c r="L62">
        <f t="shared" si="1"/>
        <v>61</v>
      </c>
      <c r="M62" s="9">
        <v>45761</v>
      </c>
      <c r="N62" s="7">
        <v>27.6</v>
      </c>
      <c r="O62" s="7">
        <v>77.50200000000001</v>
      </c>
      <c r="P62" s="7"/>
      <c r="T62">
        <f t="shared" si="2"/>
        <v>61</v>
      </c>
      <c r="U62" s="7">
        <v>29.585000000000001</v>
      </c>
      <c r="V62" s="7">
        <f t="shared" si="3"/>
        <v>15.069285714285716</v>
      </c>
      <c r="W62" s="7">
        <v>90.503999999999991</v>
      </c>
      <c r="X62" s="7">
        <f t="shared" si="4"/>
        <v>40.787714285714287</v>
      </c>
    </row>
    <row r="63" spans="1:24" x14ac:dyDescent="0.3">
      <c r="A63" s="2">
        <v>45710</v>
      </c>
      <c r="B63" t="s">
        <v>7</v>
      </c>
      <c r="C63" s="3">
        <v>7</v>
      </c>
      <c r="D63" s="3">
        <v>1</v>
      </c>
      <c r="E63" s="3" t="s">
        <v>232</v>
      </c>
      <c r="F63" s="7">
        <f>VLOOKUP(Prediction!B63,Data!$A$1:$F$7,2,)*C63*D63/1000</f>
        <v>1.75</v>
      </c>
      <c r="G63" s="7">
        <f>VLOOKUP(B63,Data!$A$1:$F$7,4,FALSE)*C63*D63/1000</f>
        <v>5.7119999999999997</v>
      </c>
      <c r="H63" s="7">
        <f>VLOOKUP(B63,Data!$A$1:$G$7,7,FALSE)*C63</f>
        <v>36400</v>
      </c>
      <c r="I63" s="7">
        <f t="shared" si="8"/>
        <v>7</v>
      </c>
      <c r="J63" s="7"/>
      <c r="L63">
        <f t="shared" si="1"/>
        <v>62</v>
      </c>
      <c r="M63" s="9">
        <v>45764</v>
      </c>
      <c r="N63" s="7">
        <v>6.5600000000000005</v>
      </c>
      <c r="O63" s="7">
        <v>12.874000000000001</v>
      </c>
      <c r="P63" s="7"/>
      <c r="T63">
        <f t="shared" si="2"/>
        <v>62</v>
      </c>
      <c r="U63" s="7">
        <v>10.754999999999999</v>
      </c>
      <c r="V63" s="7">
        <f t="shared" si="3"/>
        <v>13.837142857142856</v>
      </c>
      <c r="W63" s="7">
        <v>33.399000000000001</v>
      </c>
      <c r="X63" s="7">
        <f t="shared" si="4"/>
        <v>39.684428571428569</v>
      </c>
    </row>
    <row r="64" spans="1:24" x14ac:dyDescent="0.3">
      <c r="A64" s="2">
        <v>45710</v>
      </c>
      <c r="B64" t="s">
        <v>9</v>
      </c>
      <c r="C64" s="3">
        <v>6</v>
      </c>
      <c r="D64" s="3">
        <v>2</v>
      </c>
      <c r="E64" s="3" t="s">
        <v>244</v>
      </c>
      <c r="F64" s="7">
        <f>VLOOKUP(Prediction!B64,Data!$A$1:$F$7,2,)*C64*D64/1000</f>
        <v>3.84</v>
      </c>
      <c r="G64" s="7">
        <f>VLOOKUP(B64,Data!$A$1:$F$7,4,FALSE)*C64*D64/1000</f>
        <v>7.5359999999999996</v>
      </c>
      <c r="H64" s="7">
        <f>VLOOKUP(B64,Data!$A$1:$G$7,7,FALSE)*C64</f>
        <v>28200</v>
      </c>
      <c r="I64" s="7">
        <f t="shared" si="8"/>
        <v>12</v>
      </c>
      <c r="J64" s="7"/>
      <c r="L64">
        <f t="shared" si="1"/>
        <v>63</v>
      </c>
      <c r="M64" s="9">
        <v>45765</v>
      </c>
      <c r="N64" s="7">
        <v>5</v>
      </c>
      <c r="O64" s="7">
        <v>16.32</v>
      </c>
      <c r="P64" s="7"/>
      <c r="T64">
        <f t="shared" si="2"/>
        <v>63</v>
      </c>
      <c r="U64" s="7">
        <v>8.0500000000000007</v>
      </c>
      <c r="V64" s="7">
        <f t="shared" si="3"/>
        <v>12.837857142857143</v>
      </c>
      <c r="W64" s="7">
        <v>23.52</v>
      </c>
      <c r="X64" s="7">
        <f t="shared" si="4"/>
        <v>37.348428571428563</v>
      </c>
    </row>
    <row r="65" spans="1:24" x14ac:dyDescent="0.3">
      <c r="A65" s="2">
        <v>45711</v>
      </c>
      <c r="B65" t="s">
        <v>7</v>
      </c>
      <c r="C65" s="3">
        <v>5</v>
      </c>
      <c r="D65" s="3">
        <v>1</v>
      </c>
      <c r="E65" s="3" t="s">
        <v>232</v>
      </c>
      <c r="F65" s="7">
        <f>VLOOKUP(Prediction!B65,Data!$A$1:$F$7,2,)*C65*D65/1000</f>
        <v>1.25</v>
      </c>
      <c r="G65" s="7">
        <f>VLOOKUP(B65,Data!$A$1:$F$7,4,FALSE)*C65*D65/1000</f>
        <v>4.08</v>
      </c>
      <c r="H65" s="7">
        <f>VLOOKUP(B65,Data!$A$1:$G$7,7,FALSE)*C65</f>
        <v>26000</v>
      </c>
      <c r="I65" s="7">
        <f t="shared" si="8"/>
        <v>5</v>
      </c>
      <c r="J65" s="7"/>
      <c r="L65">
        <f t="shared" si="1"/>
        <v>64</v>
      </c>
      <c r="M65" s="9">
        <v>45766</v>
      </c>
      <c r="N65" s="7">
        <v>29.585000000000001</v>
      </c>
      <c r="O65" s="7">
        <v>90.503999999999991</v>
      </c>
      <c r="P65" s="7"/>
      <c r="T65">
        <f t="shared" si="2"/>
        <v>64</v>
      </c>
      <c r="U65" s="7">
        <v>9.5399999999999991</v>
      </c>
      <c r="V65" s="7">
        <f t="shared" si="3"/>
        <v>13.870000000000001</v>
      </c>
      <c r="W65" s="7">
        <v>27.631</v>
      </c>
      <c r="X65" s="7">
        <f t="shared" si="4"/>
        <v>40.25</v>
      </c>
    </row>
    <row r="66" spans="1:24" x14ac:dyDescent="0.3">
      <c r="A66" s="2">
        <v>45711</v>
      </c>
      <c r="B66" t="s">
        <v>4</v>
      </c>
      <c r="C66" s="3">
        <v>6</v>
      </c>
      <c r="D66" s="3">
        <v>1</v>
      </c>
      <c r="E66" s="3" t="s">
        <v>211</v>
      </c>
      <c r="F66" s="7">
        <f>VLOOKUP(Prediction!B66,Data!$A$1:$F$7,2,)*C66*D66/1000</f>
        <v>1.38</v>
      </c>
      <c r="G66" s="7">
        <f>VLOOKUP(B66,Data!$A$1:$F$7,4,FALSE)*C66*D66/1000</f>
        <v>4.032</v>
      </c>
      <c r="H66" s="7">
        <f>VLOOKUP(B66,Data!$A$1:$G$7,7,FALSE)*C66</f>
        <v>30000</v>
      </c>
      <c r="I66" s="7">
        <f t="shared" ref="I66:I97" si="9">C66*D66</f>
        <v>6</v>
      </c>
      <c r="J66" s="7"/>
      <c r="L66">
        <f t="shared" si="1"/>
        <v>65</v>
      </c>
      <c r="M66" s="9">
        <v>45767</v>
      </c>
      <c r="N66" s="7">
        <v>10.754999999999999</v>
      </c>
      <c r="O66" s="7">
        <v>33.399000000000001</v>
      </c>
      <c r="P66" s="7"/>
      <c r="T66">
        <f t="shared" si="2"/>
        <v>65</v>
      </c>
      <c r="U66" s="7">
        <v>7.82</v>
      </c>
      <c r="V66" s="7">
        <f t="shared" si="3"/>
        <v>11.044285714285715</v>
      </c>
      <c r="W66" s="7">
        <v>24.055</v>
      </c>
      <c r="X66" s="7">
        <f t="shared" si="4"/>
        <v>32.614714285714285</v>
      </c>
    </row>
    <row r="67" spans="1:24" x14ac:dyDescent="0.3">
      <c r="A67" s="2">
        <v>45711</v>
      </c>
      <c r="B67" t="s">
        <v>4</v>
      </c>
      <c r="C67" s="3">
        <v>2</v>
      </c>
      <c r="D67" s="3">
        <v>1</v>
      </c>
      <c r="E67" s="3" t="s">
        <v>211</v>
      </c>
      <c r="F67" s="7">
        <f>VLOOKUP(Prediction!B67,Data!$A$1:$F$7,2,)*C67*D67/1000</f>
        <v>0.46</v>
      </c>
      <c r="G67" s="7">
        <f>VLOOKUP(B67,Data!$A$1:$F$7,4,FALSE)*C67*D67/1000</f>
        <v>1.3440000000000001</v>
      </c>
      <c r="H67" s="7">
        <f>VLOOKUP(B67,Data!$A$1:$G$7,7,FALSE)*C67</f>
        <v>10000</v>
      </c>
      <c r="I67" s="7">
        <f t="shared" si="9"/>
        <v>2</v>
      </c>
      <c r="J67" s="7"/>
      <c r="L67">
        <f t="shared" si="1"/>
        <v>66</v>
      </c>
      <c r="M67" s="9">
        <v>45769</v>
      </c>
      <c r="N67" s="7">
        <v>8.0500000000000007</v>
      </c>
      <c r="O67" s="7">
        <v>23.52</v>
      </c>
      <c r="P67" s="7"/>
      <c r="T67">
        <f t="shared" si="2"/>
        <v>66</v>
      </c>
      <c r="U67" s="7">
        <v>10.9375</v>
      </c>
      <c r="V67" s="7">
        <f t="shared" si="3"/>
        <v>11.669642857142858</v>
      </c>
      <c r="W67" s="7">
        <v>32.889000000000003</v>
      </c>
      <c r="X67" s="7">
        <f t="shared" si="4"/>
        <v>35.474000000000004</v>
      </c>
    </row>
    <row r="68" spans="1:24" x14ac:dyDescent="0.3">
      <c r="A68" s="2">
        <v>45712</v>
      </c>
      <c r="B68" t="s">
        <v>9</v>
      </c>
      <c r="C68" s="3">
        <v>6</v>
      </c>
      <c r="D68" s="3">
        <v>2</v>
      </c>
      <c r="E68" s="3" t="s">
        <v>180</v>
      </c>
      <c r="F68" s="7">
        <f>VLOOKUP(Prediction!B68,Data!$A$1:$F$7,2,)*C68*D68/1000</f>
        <v>3.84</v>
      </c>
      <c r="G68" s="7">
        <f>VLOOKUP(B68,Data!$A$1:$F$7,4,FALSE)*C68*D68/1000</f>
        <v>7.5359999999999996</v>
      </c>
      <c r="H68" s="7">
        <f>VLOOKUP(B68,Data!$A$1:$G$7,7,FALSE)*C68</f>
        <v>28200</v>
      </c>
      <c r="I68" s="7">
        <f t="shared" si="9"/>
        <v>12</v>
      </c>
      <c r="J68" s="7"/>
      <c r="L68">
        <f t="shared" ref="L68:L99" si="10">L67+1</f>
        <v>67</v>
      </c>
      <c r="M68" s="9">
        <v>45770</v>
      </c>
      <c r="N68" s="7">
        <v>9.5399999999999991</v>
      </c>
      <c r="O68" s="7">
        <v>27.631</v>
      </c>
      <c r="P68" s="7"/>
      <c r="T68">
        <f t="shared" ref="T68:T94" si="11">T67+1</f>
        <v>67</v>
      </c>
      <c r="U68" s="7">
        <v>10.5875</v>
      </c>
      <c r="V68" s="7">
        <f t="shared" si="3"/>
        <v>12.467857142857143</v>
      </c>
      <c r="W68" s="7">
        <v>34.033499999999997</v>
      </c>
      <c r="X68" s="7">
        <f t="shared" si="4"/>
        <v>38.0045</v>
      </c>
    </row>
    <row r="69" spans="1:24" x14ac:dyDescent="0.3">
      <c r="A69" s="2">
        <v>45712</v>
      </c>
      <c r="B69" t="s">
        <v>4</v>
      </c>
      <c r="C69" s="3">
        <v>4</v>
      </c>
      <c r="D69" s="3">
        <v>1</v>
      </c>
      <c r="E69" s="3" t="s">
        <v>180</v>
      </c>
      <c r="F69" s="7">
        <f>VLOOKUP(Prediction!B69,Data!$A$1:$F$7,2,)*C69*D69/1000</f>
        <v>0.92</v>
      </c>
      <c r="G69" s="7">
        <f>VLOOKUP(B69,Data!$A$1:$F$7,4,FALSE)*C69*D69/1000</f>
        <v>2.6880000000000002</v>
      </c>
      <c r="H69" s="7">
        <f>VLOOKUP(B69,Data!$A$1:$G$7,7,FALSE)*C69</f>
        <v>20000</v>
      </c>
      <c r="I69" s="7">
        <f t="shared" si="9"/>
        <v>4</v>
      </c>
      <c r="J69" s="7"/>
      <c r="L69">
        <f t="shared" si="10"/>
        <v>68</v>
      </c>
      <c r="M69" s="9">
        <v>45771</v>
      </c>
      <c r="N69" s="7">
        <v>7.82</v>
      </c>
      <c r="O69" s="7">
        <v>24.055</v>
      </c>
      <c r="P69" s="7"/>
      <c r="T69">
        <f t="shared" si="11"/>
        <v>68</v>
      </c>
      <c r="U69" s="7">
        <v>3.22</v>
      </c>
      <c r="V69" s="7">
        <f t="shared" si="3"/>
        <v>8.7014285714285702</v>
      </c>
      <c r="W69" s="7">
        <v>9.4079999999999995</v>
      </c>
      <c r="X69" s="7">
        <f t="shared" si="4"/>
        <v>26.419357142857141</v>
      </c>
    </row>
    <row r="70" spans="1:24" x14ac:dyDescent="0.3">
      <c r="A70" s="2">
        <v>45712</v>
      </c>
      <c r="B70" t="s">
        <v>7</v>
      </c>
      <c r="C70" s="3">
        <v>7</v>
      </c>
      <c r="D70" s="3">
        <v>1</v>
      </c>
      <c r="E70" s="3" t="s">
        <v>232</v>
      </c>
      <c r="F70" s="7">
        <f>VLOOKUP(Prediction!B70,Data!$A$1:$F$7,2,)*C70*D70/1000</f>
        <v>1.75</v>
      </c>
      <c r="G70" s="7">
        <f>VLOOKUP(B70,Data!$A$1:$F$7,4,FALSE)*C70*D70/1000</f>
        <v>5.7119999999999997</v>
      </c>
      <c r="H70" s="7">
        <f>VLOOKUP(B70,Data!$A$1:$G$7,7,FALSE)*C70</f>
        <v>36400</v>
      </c>
      <c r="I70" s="7">
        <f t="shared" si="9"/>
        <v>7</v>
      </c>
      <c r="J70" s="7"/>
      <c r="L70">
        <f t="shared" si="10"/>
        <v>69</v>
      </c>
      <c r="M70" s="9">
        <v>45772</v>
      </c>
      <c r="N70" s="7">
        <v>10.9375</v>
      </c>
      <c r="O70" s="7">
        <v>32.889000000000003</v>
      </c>
      <c r="P70" s="7"/>
      <c r="T70">
        <f t="shared" si="11"/>
        <v>69</v>
      </c>
      <c r="U70" s="7">
        <v>4.46</v>
      </c>
      <c r="V70" s="7">
        <f t="shared" si="3"/>
        <v>7.8021428571428562</v>
      </c>
      <c r="W70" s="7">
        <v>13.308</v>
      </c>
      <c r="X70" s="7">
        <f t="shared" si="4"/>
        <v>23.549214285714282</v>
      </c>
    </row>
    <row r="71" spans="1:24" x14ac:dyDescent="0.3">
      <c r="A71" s="2">
        <v>45713</v>
      </c>
      <c r="B71" t="s">
        <v>4</v>
      </c>
      <c r="C71" s="3">
        <v>4.5</v>
      </c>
      <c r="D71" s="3">
        <v>1</v>
      </c>
      <c r="E71" s="3" t="s">
        <v>234</v>
      </c>
      <c r="F71" s="7">
        <f>VLOOKUP(Prediction!B71,Data!$A$1:$F$7,2,)*C71*D71/1000</f>
        <v>1.0349999999999999</v>
      </c>
      <c r="G71" s="7">
        <f>VLOOKUP(B71,Data!$A$1:$F$7,4,FALSE)*C71*D71/1000</f>
        <v>3.024</v>
      </c>
      <c r="H71" s="7">
        <f>VLOOKUP(B71,Data!$A$1:$G$7,7,FALSE)*C71</f>
        <v>22500</v>
      </c>
      <c r="I71" s="7">
        <f t="shared" si="9"/>
        <v>4.5</v>
      </c>
      <c r="J71" s="7"/>
      <c r="L71">
        <f t="shared" si="10"/>
        <v>70</v>
      </c>
      <c r="M71" s="9">
        <v>45773</v>
      </c>
      <c r="N71" s="7">
        <v>10.5875</v>
      </c>
      <c r="O71" s="7">
        <v>34.033499999999997</v>
      </c>
      <c r="P71" s="7"/>
      <c r="T71">
        <f t="shared" si="11"/>
        <v>70</v>
      </c>
      <c r="U71" s="7">
        <v>25.25</v>
      </c>
      <c r="V71" s="7">
        <f t="shared" si="3"/>
        <v>10.259285714285713</v>
      </c>
      <c r="W71" s="7">
        <v>73.517999999999986</v>
      </c>
      <c r="X71" s="7">
        <f t="shared" si="4"/>
        <v>30.691785714285711</v>
      </c>
    </row>
    <row r="72" spans="1:24" x14ac:dyDescent="0.3">
      <c r="A72" s="2">
        <v>45713</v>
      </c>
      <c r="B72" t="s">
        <v>4</v>
      </c>
      <c r="C72" s="3">
        <v>3.5</v>
      </c>
      <c r="D72" s="3">
        <v>1</v>
      </c>
      <c r="E72" s="3" t="s">
        <v>211</v>
      </c>
      <c r="F72" s="7">
        <f>VLOOKUP(Prediction!B72,Data!$A$1:$F$7,2,)*C72*D72/1000</f>
        <v>0.80500000000000005</v>
      </c>
      <c r="G72" s="7">
        <f>VLOOKUP(B72,Data!$A$1:$F$7,4,FALSE)*C72*D72/1000</f>
        <v>2.3519999999999999</v>
      </c>
      <c r="H72" s="7">
        <f>VLOOKUP(B72,Data!$A$1:$G$7,7,FALSE)*C72</f>
        <v>17500</v>
      </c>
      <c r="I72" s="7">
        <f t="shared" si="9"/>
        <v>3.5</v>
      </c>
      <c r="J72" s="7"/>
      <c r="L72">
        <f t="shared" si="10"/>
        <v>71</v>
      </c>
      <c r="M72" s="9">
        <v>45775</v>
      </c>
      <c r="N72" s="7">
        <v>3.22</v>
      </c>
      <c r="O72" s="7">
        <v>9.4079999999999995</v>
      </c>
      <c r="P72" s="7"/>
      <c r="T72">
        <f t="shared" si="11"/>
        <v>71</v>
      </c>
      <c r="U72" s="7">
        <v>24.330000000000002</v>
      </c>
      <c r="V72" s="7">
        <f t="shared" si="3"/>
        <v>12.372142857142858</v>
      </c>
      <c r="W72" s="7">
        <v>66.656000000000006</v>
      </c>
      <c r="X72" s="7">
        <f t="shared" si="4"/>
        <v>36.266785714285717</v>
      </c>
    </row>
    <row r="73" spans="1:24" x14ac:dyDescent="0.3">
      <c r="A73" s="2">
        <v>45713</v>
      </c>
      <c r="B73" t="s">
        <v>17</v>
      </c>
      <c r="C73" s="3">
        <v>7</v>
      </c>
      <c r="D73" s="3">
        <v>1</v>
      </c>
      <c r="E73" s="3" t="s">
        <v>205</v>
      </c>
      <c r="F73" s="7">
        <f>VLOOKUP(Prediction!B73,Data!$A$1:$F$7,2,)*C73*D73/1000</f>
        <v>1.47</v>
      </c>
      <c r="G73" s="7">
        <f>VLOOKUP(B73,Data!$A$1:$F$7,4,FALSE)*C73*D73/1000</f>
        <v>5.4109999999999996</v>
      </c>
      <c r="H73" s="7">
        <f>VLOOKUP(B73,Data!$A$1:$G$7,7,FALSE)*C73</f>
        <v>28000</v>
      </c>
      <c r="I73" s="7">
        <f t="shared" si="9"/>
        <v>7</v>
      </c>
      <c r="J73" s="7"/>
      <c r="L73">
        <f t="shared" si="10"/>
        <v>72</v>
      </c>
      <c r="M73" s="9">
        <v>45777</v>
      </c>
      <c r="N73" s="7">
        <v>4.46</v>
      </c>
      <c r="O73" s="7">
        <v>13.308</v>
      </c>
      <c r="P73" s="7"/>
      <c r="T73">
        <f t="shared" si="11"/>
        <v>72</v>
      </c>
      <c r="U73" s="7">
        <v>13.44</v>
      </c>
      <c r="V73" s="7">
        <f t="shared" ref="V73:V94" si="12">AVERAGE(U67:U73)</f>
        <v>13.174999999999999</v>
      </c>
      <c r="W73" s="7">
        <v>26.376000000000001</v>
      </c>
      <c r="X73" s="7">
        <f t="shared" ref="X73:X94" si="13">AVERAGE(W67:W73)</f>
        <v>36.598357142857139</v>
      </c>
    </row>
    <row r="74" spans="1:24" x14ac:dyDescent="0.3">
      <c r="A74" s="2">
        <v>45713</v>
      </c>
      <c r="B74" t="s">
        <v>17</v>
      </c>
      <c r="C74" s="3">
        <v>3</v>
      </c>
      <c r="D74" s="3">
        <v>1</v>
      </c>
      <c r="E74" s="3" t="s">
        <v>205</v>
      </c>
      <c r="F74" s="7">
        <f>VLOOKUP(Prediction!B74,Data!$A$1:$F$7,2,)*C74*D74/1000</f>
        <v>0.63</v>
      </c>
      <c r="G74" s="7">
        <f>VLOOKUP(B74,Data!$A$1:$F$7,4,FALSE)*C74*D74/1000</f>
        <v>2.319</v>
      </c>
      <c r="H74" s="7">
        <f>VLOOKUP(B74,Data!$A$1:$G$7,7,FALSE)*C74</f>
        <v>12000</v>
      </c>
      <c r="I74" s="7">
        <f t="shared" si="9"/>
        <v>3</v>
      </c>
      <c r="J74" s="7"/>
      <c r="L74">
        <f t="shared" si="10"/>
        <v>73</v>
      </c>
      <c r="M74" s="9">
        <v>45778</v>
      </c>
      <c r="N74" s="7">
        <v>25.25</v>
      </c>
      <c r="O74" s="7">
        <v>73.517999999999986</v>
      </c>
      <c r="P74" s="7"/>
      <c r="T74">
        <f t="shared" si="11"/>
        <v>73</v>
      </c>
      <c r="U74" s="7">
        <v>3.78</v>
      </c>
      <c r="V74" s="7">
        <f t="shared" si="12"/>
        <v>12.1525</v>
      </c>
      <c r="W74" s="7">
        <v>13.914</v>
      </c>
      <c r="X74" s="7">
        <f t="shared" si="13"/>
        <v>33.887642857142858</v>
      </c>
    </row>
    <row r="75" spans="1:24" x14ac:dyDescent="0.3">
      <c r="A75" s="2">
        <v>45714</v>
      </c>
      <c r="B75" t="s">
        <v>4</v>
      </c>
      <c r="C75" s="3">
        <v>2.5</v>
      </c>
      <c r="D75" s="3">
        <v>1</v>
      </c>
      <c r="E75" s="3" t="s">
        <v>211</v>
      </c>
      <c r="F75" s="7">
        <f>VLOOKUP(Prediction!B75,Data!$A$1:$F$7,2,)*C75*D75/1000</f>
        <v>0.57499999999999996</v>
      </c>
      <c r="G75" s="7">
        <f>VLOOKUP(B75,Data!$A$1:$F$7,4,FALSE)*C75*D75/1000</f>
        <v>1.68</v>
      </c>
      <c r="H75" s="7">
        <f>VLOOKUP(B75,Data!$A$1:$G$7,7,FALSE)*C75</f>
        <v>12500</v>
      </c>
      <c r="I75" s="7">
        <f t="shared" si="9"/>
        <v>2.5</v>
      </c>
      <c r="J75" s="7"/>
      <c r="L75">
        <f t="shared" si="10"/>
        <v>74</v>
      </c>
      <c r="M75" s="9">
        <v>45780</v>
      </c>
      <c r="N75" s="7">
        <v>24.330000000000002</v>
      </c>
      <c r="O75" s="7">
        <v>66.656000000000006</v>
      </c>
      <c r="P75" s="7"/>
      <c r="T75">
        <f t="shared" si="11"/>
        <v>74</v>
      </c>
      <c r="U75" s="7">
        <v>9.4550000000000001</v>
      </c>
      <c r="V75" s="7">
        <f t="shared" si="12"/>
        <v>11.990714285714287</v>
      </c>
      <c r="W75" s="7">
        <v>22.948</v>
      </c>
      <c r="X75" s="7">
        <f t="shared" si="13"/>
        <v>32.303999999999995</v>
      </c>
    </row>
    <row r="76" spans="1:24" x14ac:dyDescent="0.3">
      <c r="A76" s="2">
        <v>45714</v>
      </c>
      <c r="B76" t="s">
        <v>9</v>
      </c>
      <c r="C76" s="3">
        <v>6</v>
      </c>
      <c r="D76" s="3">
        <v>1</v>
      </c>
      <c r="E76" s="3" t="s">
        <v>244</v>
      </c>
      <c r="F76" s="7">
        <f>VLOOKUP(Prediction!B76,Data!$A$1:$F$7,2,)*C76*D76/1000</f>
        <v>1.92</v>
      </c>
      <c r="G76" s="7">
        <f>VLOOKUP(B76,Data!$A$1:$F$7,4,FALSE)*C76*D76/1000</f>
        <v>3.7679999999999998</v>
      </c>
      <c r="H76" s="7">
        <f>VLOOKUP(B76,Data!$A$1:$G$7,7,FALSE)*C76</f>
        <v>28200</v>
      </c>
      <c r="I76" s="7">
        <f t="shared" si="9"/>
        <v>6</v>
      </c>
      <c r="J76" s="7"/>
      <c r="L76">
        <f t="shared" si="10"/>
        <v>75</v>
      </c>
      <c r="M76" s="9">
        <v>45783</v>
      </c>
      <c r="N76" s="7">
        <v>13.44</v>
      </c>
      <c r="O76" s="7">
        <v>26.376000000000001</v>
      </c>
      <c r="P76" s="7"/>
      <c r="T76">
        <f t="shared" si="11"/>
        <v>75</v>
      </c>
      <c r="U76" s="7">
        <v>8.4</v>
      </c>
      <c r="V76" s="7">
        <f t="shared" si="12"/>
        <v>12.730714285714287</v>
      </c>
      <c r="W76" s="7">
        <v>30.92</v>
      </c>
      <c r="X76" s="7">
        <f t="shared" si="13"/>
        <v>35.377142857142857</v>
      </c>
    </row>
    <row r="77" spans="1:24" x14ac:dyDescent="0.3">
      <c r="A77" s="2">
        <v>45714</v>
      </c>
      <c r="B77" t="s">
        <v>13</v>
      </c>
      <c r="C77" s="3">
        <v>7</v>
      </c>
      <c r="D77" s="3">
        <v>5</v>
      </c>
      <c r="E77" s="3" t="s">
        <v>176</v>
      </c>
      <c r="F77" s="7">
        <f>VLOOKUP(Prediction!B77,Data!$A$1:$F$7,2,)*C77*D77/1000</f>
        <v>9.1</v>
      </c>
      <c r="G77" s="7">
        <f>VLOOKUP(B77,Data!$A$1:$F$7,4,FALSE)*C77*D77/1000</f>
        <v>25.094999999999999</v>
      </c>
      <c r="H77" s="7">
        <f>VLOOKUP(B77,Data!$A$1:$G$7,7,FALSE)*C77</f>
        <v>30100</v>
      </c>
      <c r="I77" s="7">
        <f t="shared" si="9"/>
        <v>35</v>
      </c>
      <c r="J77" s="7"/>
      <c r="L77">
        <f t="shared" si="10"/>
        <v>76</v>
      </c>
      <c r="M77" s="9">
        <v>45784</v>
      </c>
      <c r="N77" s="7">
        <v>3.78</v>
      </c>
      <c r="O77" s="7">
        <v>13.914</v>
      </c>
      <c r="P77" s="7"/>
      <c r="T77">
        <f t="shared" si="11"/>
        <v>76</v>
      </c>
      <c r="U77" s="7">
        <v>25.200000000000003</v>
      </c>
      <c r="V77" s="7">
        <f t="shared" si="12"/>
        <v>15.693571428571429</v>
      </c>
      <c r="W77" s="7">
        <v>84.004000000000005</v>
      </c>
      <c r="X77" s="7">
        <f t="shared" si="13"/>
        <v>45.476571428571432</v>
      </c>
    </row>
    <row r="78" spans="1:24" x14ac:dyDescent="0.3">
      <c r="A78" s="2">
        <v>45714</v>
      </c>
      <c r="B78" t="s">
        <v>13</v>
      </c>
      <c r="C78" s="3">
        <v>6</v>
      </c>
      <c r="D78" s="3">
        <v>1</v>
      </c>
      <c r="E78" s="3" t="s">
        <v>176</v>
      </c>
      <c r="F78" s="7">
        <f>VLOOKUP(Prediction!B78,Data!$A$1:$F$7,2,)*C78*D78/1000</f>
        <v>1.56</v>
      </c>
      <c r="G78" s="7">
        <f>VLOOKUP(B78,Data!$A$1:$F$7,4,FALSE)*C78*D78/1000</f>
        <v>4.3019999999999996</v>
      </c>
      <c r="H78" s="7">
        <f>VLOOKUP(B78,Data!$A$1:$G$7,7,FALSE)*C78</f>
        <v>25800</v>
      </c>
      <c r="I78" s="7">
        <f t="shared" si="9"/>
        <v>6</v>
      </c>
      <c r="J78" s="7"/>
      <c r="L78">
        <f t="shared" si="10"/>
        <v>77</v>
      </c>
      <c r="M78" s="9">
        <v>45785</v>
      </c>
      <c r="N78" s="7">
        <v>9.4550000000000001</v>
      </c>
      <c r="O78" s="7">
        <v>22.948</v>
      </c>
      <c r="P78" s="7"/>
      <c r="T78">
        <f t="shared" si="11"/>
        <v>77</v>
      </c>
      <c r="U78" s="7">
        <v>20.94</v>
      </c>
      <c r="V78" s="7">
        <f t="shared" si="12"/>
        <v>15.077857142857143</v>
      </c>
      <c r="W78" s="7">
        <v>69.573999999999998</v>
      </c>
      <c r="X78" s="7">
        <f t="shared" si="13"/>
        <v>44.913142857142866</v>
      </c>
    </row>
    <row r="79" spans="1:24" x14ac:dyDescent="0.3">
      <c r="A79" s="2">
        <v>45714</v>
      </c>
      <c r="B79" t="s">
        <v>9</v>
      </c>
      <c r="C79" s="3">
        <v>4</v>
      </c>
      <c r="D79" s="3">
        <v>1</v>
      </c>
      <c r="E79" s="3" t="s">
        <v>219</v>
      </c>
      <c r="F79" s="7">
        <f>VLOOKUP(Prediction!B79,Data!$A$1:$F$7,2,)*C79*D79/1000</f>
        <v>1.28</v>
      </c>
      <c r="G79" s="7">
        <f>VLOOKUP(B79,Data!$A$1:$F$7,4,FALSE)*C79*D79/1000</f>
        <v>2.512</v>
      </c>
      <c r="H79" s="7">
        <f>VLOOKUP(B79,Data!$A$1:$G$7,7,FALSE)*C79</f>
        <v>18800</v>
      </c>
      <c r="I79" s="7">
        <f t="shared" si="9"/>
        <v>4</v>
      </c>
      <c r="J79" s="7"/>
      <c r="L79">
        <f t="shared" si="10"/>
        <v>78</v>
      </c>
      <c r="M79" s="9">
        <v>45786</v>
      </c>
      <c r="N79" s="7">
        <v>8.4</v>
      </c>
      <c r="O79" s="7">
        <v>30.92</v>
      </c>
      <c r="P79" s="7"/>
      <c r="T79">
        <f t="shared" si="11"/>
        <v>78</v>
      </c>
      <c r="U79" s="7">
        <v>19.79</v>
      </c>
      <c r="V79" s="7">
        <f t="shared" si="12"/>
        <v>14.429285714285713</v>
      </c>
      <c r="W79" s="7">
        <v>64.721999999999994</v>
      </c>
      <c r="X79" s="7">
        <f t="shared" si="13"/>
        <v>44.636857142857139</v>
      </c>
    </row>
    <row r="80" spans="1:24" x14ac:dyDescent="0.3">
      <c r="A80" s="2">
        <v>45715</v>
      </c>
      <c r="B80" t="s">
        <v>13</v>
      </c>
      <c r="C80" s="3">
        <v>7</v>
      </c>
      <c r="D80" s="3">
        <v>5</v>
      </c>
      <c r="E80" s="3" t="s">
        <v>176</v>
      </c>
      <c r="F80" s="7">
        <f>VLOOKUP(Prediction!B80,Data!$A$1:$F$7,2,)*C80*D80/1000</f>
        <v>9.1</v>
      </c>
      <c r="G80" s="7">
        <f>VLOOKUP(B80,Data!$A$1:$F$7,4,FALSE)*C80*D80/1000</f>
        <v>25.094999999999999</v>
      </c>
      <c r="H80" s="7">
        <f>VLOOKUP(B80,Data!$A$1:$G$7,7,FALSE)*C80</f>
        <v>30100</v>
      </c>
      <c r="I80" s="7">
        <f t="shared" si="9"/>
        <v>35</v>
      </c>
      <c r="J80" s="7"/>
      <c r="L80">
        <f t="shared" si="10"/>
        <v>79</v>
      </c>
      <c r="M80" s="9">
        <v>45787</v>
      </c>
      <c r="N80" s="7">
        <v>25.200000000000003</v>
      </c>
      <c r="O80" s="7">
        <v>84.004000000000005</v>
      </c>
      <c r="P80" s="7"/>
      <c r="T80">
        <f t="shared" si="11"/>
        <v>79</v>
      </c>
      <c r="U80" s="7">
        <v>11.33</v>
      </c>
      <c r="V80" s="7">
        <f t="shared" si="12"/>
        <v>14.127857142857142</v>
      </c>
      <c r="W80" s="7">
        <v>34.274000000000001</v>
      </c>
      <c r="X80" s="7">
        <f t="shared" si="13"/>
        <v>45.765142857142855</v>
      </c>
    </row>
    <row r="81" spans="1:24" x14ac:dyDescent="0.3">
      <c r="A81" s="2">
        <v>45715</v>
      </c>
      <c r="B81" t="s">
        <v>13</v>
      </c>
      <c r="C81" s="3">
        <v>6</v>
      </c>
      <c r="D81" s="3">
        <v>1</v>
      </c>
      <c r="E81" s="3" t="s">
        <v>176</v>
      </c>
      <c r="F81" s="7">
        <f>VLOOKUP(Prediction!B81,Data!$A$1:$F$7,2,)*C81*D81/1000</f>
        <v>1.56</v>
      </c>
      <c r="G81" s="7">
        <f>VLOOKUP(B81,Data!$A$1:$F$7,4,FALSE)*C81*D81/1000</f>
        <v>4.3019999999999996</v>
      </c>
      <c r="H81" s="7">
        <f>VLOOKUP(B81,Data!$A$1:$G$7,7,FALSE)*C81</f>
        <v>25800</v>
      </c>
      <c r="I81" s="7">
        <f t="shared" si="9"/>
        <v>6</v>
      </c>
      <c r="J81" s="7"/>
      <c r="L81">
        <f t="shared" si="10"/>
        <v>80</v>
      </c>
      <c r="M81" s="9">
        <v>45788</v>
      </c>
      <c r="N81" s="7">
        <v>20.94</v>
      </c>
      <c r="O81" s="7">
        <v>69.573999999999998</v>
      </c>
      <c r="P81" s="7"/>
      <c r="T81">
        <f t="shared" si="11"/>
        <v>80</v>
      </c>
      <c r="U81" s="7">
        <v>9</v>
      </c>
      <c r="V81" s="7">
        <f t="shared" si="12"/>
        <v>14.873571428571427</v>
      </c>
      <c r="W81" s="7">
        <v>29.376000000000001</v>
      </c>
      <c r="X81" s="7">
        <f t="shared" si="13"/>
        <v>47.973999999999997</v>
      </c>
    </row>
    <row r="82" spans="1:24" x14ac:dyDescent="0.3">
      <c r="A82" s="2">
        <v>45716</v>
      </c>
      <c r="B82" t="s">
        <v>13</v>
      </c>
      <c r="C82" s="3">
        <v>7</v>
      </c>
      <c r="D82" s="3">
        <v>6</v>
      </c>
      <c r="E82" s="3" t="s">
        <v>176</v>
      </c>
      <c r="F82" s="7">
        <f>VLOOKUP(Prediction!B82,Data!$A$1:$F$7,2,)*C82*D82/1000</f>
        <v>10.92</v>
      </c>
      <c r="G82" s="7">
        <f>VLOOKUP(B82,Data!$A$1:$F$7,4,FALSE)*C82*D82/1000</f>
        <v>30.114000000000001</v>
      </c>
      <c r="H82" s="7">
        <f>VLOOKUP(B82,Data!$A$1:$G$7,7,FALSE)*C82</f>
        <v>30100</v>
      </c>
      <c r="I82" s="7">
        <f t="shared" si="9"/>
        <v>42</v>
      </c>
      <c r="J82" s="7"/>
      <c r="L82">
        <f t="shared" si="10"/>
        <v>81</v>
      </c>
      <c r="M82" s="9">
        <v>45789</v>
      </c>
      <c r="N82" s="7">
        <v>19.79</v>
      </c>
      <c r="O82" s="7">
        <v>64.721999999999994</v>
      </c>
      <c r="P82" s="7"/>
      <c r="T82">
        <f t="shared" si="11"/>
        <v>81</v>
      </c>
      <c r="U82" s="7">
        <v>11.36</v>
      </c>
      <c r="V82" s="7">
        <f t="shared" si="12"/>
        <v>15.145714285714288</v>
      </c>
      <c r="W82" s="7">
        <v>34.56</v>
      </c>
      <c r="X82" s="7">
        <f t="shared" si="13"/>
        <v>49.632857142857134</v>
      </c>
    </row>
    <row r="83" spans="1:24" x14ac:dyDescent="0.3">
      <c r="A83" s="2">
        <v>45716</v>
      </c>
      <c r="B83" t="s">
        <v>13</v>
      </c>
      <c r="C83" s="3">
        <v>7</v>
      </c>
      <c r="D83" s="3">
        <v>1</v>
      </c>
      <c r="E83" s="3" t="s">
        <v>232</v>
      </c>
      <c r="F83" s="7">
        <f>VLOOKUP(Prediction!B83,Data!$A$1:$F$7,2,)*C83*D83/1000</f>
        <v>1.82</v>
      </c>
      <c r="G83" s="7">
        <f>VLOOKUP(B83,Data!$A$1:$F$7,4,FALSE)*C83*D83/1000</f>
        <v>5.0190000000000001</v>
      </c>
      <c r="H83" s="7">
        <f>VLOOKUP(B83,Data!$A$1:$G$7,7,FALSE)*C83</f>
        <v>30100</v>
      </c>
      <c r="I83" s="7">
        <f t="shared" si="9"/>
        <v>7</v>
      </c>
      <c r="J83" s="7"/>
      <c r="L83">
        <f t="shared" si="10"/>
        <v>82</v>
      </c>
      <c r="M83" s="9">
        <v>45790</v>
      </c>
      <c r="N83" s="7">
        <v>41.515000000000001</v>
      </c>
      <c r="O83" s="10">
        <v>123.33200000000001</v>
      </c>
      <c r="P83" s="7"/>
      <c r="T83">
        <f t="shared" si="11"/>
        <v>82</v>
      </c>
      <c r="U83" s="7">
        <v>26.98</v>
      </c>
      <c r="V83" s="7">
        <f t="shared" si="12"/>
        <v>17.8</v>
      </c>
      <c r="W83" s="7">
        <v>86.016000000000005</v>
      </c>
      <c r="X83" s="7">
        <f t="shared" si="13"/>
        <v>57.503714285714288</v>
      </c>
    </row>
    <row r="84" spans="1:24" x14ac:dyDescent="0.3">
      <c r="A84" s="2">
        <v>45717</v>
      </c>
      <c r="B84" t="s">
        <v>13</v>
      </c>
      <c r="C84" s="3">
        <v>7</v>
      </c>
      <c r="D84" s="3">
        <v>8</v>
      </c>
      <c r="E84" s="3" t="s">
        <v>176</v>
      </c>
      <c r="F84" s="7">
        <f>VLOOKUP(Prediction!B84,Data!$A$1:$F$7,2,)*C84*D84/1000</f>
        <v>14.56</v>
      </c>
      <c r="G84" s="7">
        <f>VLOOKUP(B84,Data!$A$1:$F$7,4,FALSE)*C84*D84/1000</f>
        <v>40.152000000000001</v>
      </c>
      <c r="H84" s="7">
        <f>VLOOKUP(B84,Data!$A$1:$G$7,7,FALSE)*C84</f>
        <v>30100</v>
      </c>
      <c r="I84" s="7">
        <f t="shared" si="9"/>
        <v>56</v>
      </c>
      <c r="J84" s="7"/>
      <c r="L84">
        <f t="shared" si="10"/>
        <v>83</v>
      </c>
      <c r="M84" s="9">
        <v>45791</v>
      </c>
      <c r="N84" s="7">
        <v>11.33</v>
      </c>
      <c r="O84" s="7">
        <v>34.274000000000001</v>
      </c>
      <c r="P84" s="7"/>
      <c r="T84">
        <f t="shared" si="11"/>
        <v>83</v>
      </c>
      <c r="U84" s="7">
        <v>7</v>
      </c>
      <c r="V84" s="7">
        <f t="shared" si="12"/>
        <v>15.200000000000001</v>
      </c>
      <c r="W84" s="7">
        <v>22.847999999999999</v>
      </c>
      <c r="X84" s="7">
        <f t="shared" si="13"/>
        <v>48.767142857142858</v>
      </c>
    </row>
    <row r="85" spans="1:24" x14ac:dyDescent="0.3">
      <c r="A85" s="2">
        <v>45717</v>
      </c>
      <c r="B85" t="s">
        <v>7</v>
      </c>
      <c r="C85" s="3">
        <v>7</v>
      </c>
      <c r="D85" s="3">
        <v>2</v>
      </c>
      <c r="E85" s="3" t="s">
        <v>232</v>
      </c>
      <c r="F85" s="7">
        <f>VLOOKUP(Prediction!B85,Data!$A$1:$F$7,2,)*C85*D85/1000</f>
        <v>3.5</v>
      </c>
      <c r="G85" s="7">
        <f>VLOOKUP(B85,Data!$A$1:$F$7,4,FALSE)*C85*D85/1000</f>
        <v>11.423999999999999</v>
      </c>
      <c r="H85" s="7">
        <f>VLOOKUP(B85,Data!$A$1:$G$7,7,FALSE)*C85</f>
        <v>36400</v>
      </c>
      <c r="I85" s="7">
        <f t="shared" si="9"/>
        <v>14</v>
      </c>
      <c r="J85" s="7"/>
      <c r="L85">
        <f t="shared" si="10"/>
        <v>84</v>
      </c>
      <c r="M85" s="9">
        <v>45792</v>
      </c>
      <c r="N85" s="7">
        <v>9</v>
      </c>
      <c r="O85" s="7">
        <v>29.376000000000001</v>
      </c>
      <c r="P85" s="7"/>
      <c r="T85">
        <f t="shared" si="11"/>
        <v>84</v>
      </c>
      <c r="U85" s="7">
        <v>15.425000000000001</v>
      </c>
      <c r="V85" s="7">
        <f t="shared" si="12"/>
        <v>14.412142857142856</v>
      </c>
      <c r="W85" s="7">
        <v>47.591999999999999</v>
      </c>
      <c r="X85" s="7">
        <f t="shared" si="13"/>
        <v>45.626857142857141</v>
      </c>
    </row>
    <row r="86" spans="1:24" x14ac:dyDescent="0.3">
      <c r="A86" s="2">
        <v>45718</v>
      </c>
      <c r="B86" t="s">
        <v>13</v>
      </c>
      <c r="C86" s="3">
        <v>7</v>
      </c>
      <c r="D86" s="3">
        <v>5</v>
      </c>
      <c r="E86" s="3" t="s">
        <v>176</v>
      </c>
      <c r="F86" s="7">
        <f>VLOOKUP(Prediction!B86,Data!$A$1:$F$7,2,)*C86*D86/1000</f>
        <v>9.1</v>
      </c>
      <c r="G86" s="7">
        <f>VLOOKUP(B86,Data!$A$1:$F$7,4,FALSE)*C86*D86/1000</f>
        <v>25.094999999999999</v>
      </c>
      <c r="H86" s="7">
        <f>VLOOKUP(B86,Data!$A$1:$G$7,7,FALSE)*C86</f>
        <v>30100</v>
      </c>
      <c r="I86" s="7">
        <f t="shared" si="9"/>
        <v>35</v>
      </c>
      <c r="J86" s="7"/>
      <c r="L86">
        <f t="shared" si="10"/>
        <v>85</v>
      </c>
      <c r="M86" s="9">
        <v>45793</v>
      </c>
      <c r="N86" s="7">
        <v>11.36</v>
      </c>
      <c r="O86" s="7">
        <v>34.56</v>
      </c>
      <c r="P86" s="7"/>
      <c r="T86">
        <f t="shared" si="11"/>
        <v>85</v>
      </c>
      <c r="U86" s="7">
        <v>16.5</v>
      </c>
      <c r="V86" s="7">
        <f t="shared" si="12"/>
        <v>13.942142857142857</v>
      </c>
      <c r="W86" s="7">
        <v>53.856000000000002</v>
      </c>
      <c r="X86" s="7">
        <f t="shared" si="13"/>
        <v>44.074571428571424</v>
      </c>
    </row>
    <row r="87" spans="1:24" x14ac:dyDescent="0.3">
      <c r="A87" s="2">
        <v>45719</v>
      </c>
      <c r="B87" t="s">
        <v>9</v>
      </c>
      <c r="C87" s="3">
        <v>7</v>
      </c>
      <c r="D87" s="3">
        <v>3</v>
      </c>
      <c r="E87" s="3" t="s">
        <v>240</v>
      </c>
      <c r="F87" s="7">
        <f>VLOOKUP(Prediction!B87,Data!$A$1:$F$7,2,)*C87*D87/1000</f>
        <v>6.72</v>
      </c>
      <c r="G87" s="7">
        <f>VLOOKUP(B87,Data!$A$1:$F$7,4,FALSE)*C87*D87/1000</f>
        <v>13.188000000000001</v>
      </c>
      <c r="H87" s="7">
        <f>VLOOKUP(B87,Data!$A$1:$G$7,7,FALSE)*C87</f>
        <v>32900</v>
      </c>
      <c r="I87" s="7">
        <f t="shared" si="9"/>
        <v>21</v>
      </c>
      <c r="J87" s="7"/>
      <c r="L87">
        <f t="shared" si="10"/>
        <v>86</v>
      </c>
      <c r="M87" s="9">
        <v>45794</v>
      </c>
      <c r="N87" s="7">
        <v>26.98</v>
      </c>
      <c r="O87" s="7">
        <v>86.016000000000005</v>
      </c>
      <c r="P87" s="7"/>
      <c r="T87">
        <f t="shared" si="11"/>
        <v>86</v>
      </c>
      <c r="U87" s="7">
        <v>24.9025</v>
      </c>
      <c r="V87" s="7">
        <f t="shared" si="12"/>
        <v>15.881071428571429</v>
      </c>
      <c r="W87" s="7">
        <v>71.606999999999999</v>
      </c>
      <c r="X87" s="7">
        <f t="shared" si="13"/>
        <v>49.407857142857146</v>
      </c>
    </row>
    <row r="88" spans="1:24" x14ac:dyDescent="0.3">
      <c r="A88" s="2">
        <v>45720</v>
      </c>
      <c r="B88" t="s">
        <v>9</v>
      </c>
      <c r="C88" s="3">
        <v>6</v>
      </c>
      <c r="D88" s="3">
        <v>3</v>
      </c>
      <c r="E88" s="3" t="s">
        <v>214</v>
      </c>
      <c r="F88" s="7">
        <f>VLOOKUP(Prediction!B88,Data!$A$1:$F$7,2,)*C88*D88/1000</f>
        <v>5.76</v>
      </c>
      <c r="G88" s="7">
        <f>VLOOKUP(B88,Data!$A$1:$F$7,4,FALSE)*C88*D88/1000</f>
        <v>11.304</v>
      </c>
      <c r="H88" s="7">
        <f>VLOOKUP(B88,Data!$A$1:$G$7,7,FALSE)*C88</f>
        <v>28200</v>
      </c>
      <c r="I88" s="7">
        <f t="shared" si="9"/>
        <v>18</v>
      </c>
      <c r="J88" s="7"/>
      <c r="L88">
        <f t="shared" si="10"/>
        <v>87</v>
      </c>
      <c r="M88" s="9">
        <v>45795</v>
      </c>
      <c r="N88" s="7">
        <v>7</v>
      </c>
      <c r="O88" s="7">
        <v>22.847999999999999</v>
      </c>
      <c r="P88" s="7"/>
      <c r="T88">
        <f t="shared" si="11"/>
        <v>87</v>
      </c>
      <c r="U88" s="7">
        <v>21.650000000000002</v>
      </c>
      <c r="V88" s="7">
        <f t="shared" si="12"/>
        <v>17.688214285714288</v>
      </c>
      <c r="W88" s="7">
        <v>68.690999999999988</v>
      </c>
      <c r="X88" s="7">
        <f t="shared" si="13"/>
        <v>55.024285714285718</v>
      </c>
    </row>
    <row r="89" spans="1:24" x14ac:dyDescent="0.3">
      <c r="A89" s="2">
        <v>45720</v>
      </c>
      <c r="B89" t="s">
        <v>7</v>
      </c>
      <c r="C89" s="3">
        <v>7</v>
      </c>
      <c r="D89" s="3">
        <v>4</v>
      </c>
      <c r="E89" s="3" t="s">
        <v>232</v>
      </c>
      <c r="F89" s="7">
        <f>VLOOKUP(Prediction!B89,Data!$A$1:$F$7,2,)*C89*D89/1000</f>
        <v>7</v>
      </c>
      <c r="G89" s="7">
        <f>VLOOKUP(B89,Data!$A$1:$F$7,4,FALSE)*C89*D89/1000</f>
        <v>22.847999999999999</v>
      </c>
      <c r="H89" s="7">
        <f>VLOOKUP(B89,Data!$A$1:$G$7,7,FALSE)*C89</f>
        <v>36400</v>
      </c>
      <c r="I89" s="7">
        <f t="shared" si="9"/>
        <v>28</v>
      </c>
      <c r="J89" s="7"/>
      <c r="L89">
        <f t="shared" si="10"/>
        <v>88</v>
      </c>
      <c r="M89" s="9">
        <v>45797</v>
      </c>
      <c r="N89" s="7">
        <v>15.425000000000001</v>
      </c>
      <c r="O89" s="7">
        <v>47.591999999999999</v>
      </c>
      <c r="P89" s="7"/>
      <c r="T89">
        <f t="shared" si="11"/>
        <v>88</v>
      </c>
      <c r="U89" s="7">
        <v>11.620000000000001</v>
      </c>
      <c r="V89" s="7">
        <f t="shared" si="12"/>
        <v>17.725357142857145</v>
      </c>
      <c r="W89" s="7">
        <v>27.329000000000001</v>
      </c>
      <c r="X89" s="7">
        <f t="shared" si="13"/>
        <v>53.991285714285709</v>
      </c>
    </row>
    <row r="90" spans="1:24" x14ac:dyDescent="0.3">
      <c r="A90" s="2">
        <v>45722</v>
      </c>
      <c r="B90" t="s">
        <v>9</v>
      </c>
      <c r="C90" s="3">
        <v>7</v>
      </c>
      <c r="D90" s="3">
        <v>1</v>
      </c>
      <c r="E90" s="3" t="s">
        <v>241</v>
      </c>
      <c r="F90" s="7">
        <f>VLOOKUP(Prediction!B90,Data!$A$1:$F$7,2,)*C90*D90/1000</f>
        <v>2.2400000000000002</v>
      </c>
      <c r="G90" s="7">
        <f>VLOOKUP(B90,Data!$A$1:$F$7,4,FALSE)*C90*D90/1000</f>
        <v>4.3959999999999999</v>
      </c>
      <c r="H90" s="7">
        <f>VLOOKUP(B90,Data!$A$1:$G$7,7,FALSE)*C90</f>
        <v>32900</v>
      </c>
      <c r="I90" s="7">
        <f t="shared" si="9"/>
        <v>7</v>
      </c>
      <c r="J90" s="7"/>
      <c r="L90">
        <f t="shared" si="10"/>
        <v>89</v>
      </c>
      <c r="M90" s="9">
        <v>45798</v>
      </c>
      <c r="N90" s="7">
        <v>16.5</v>
      </c>
      <c r="O90" s="7">
        <v>53.856000000000002</v>
      </c>
      <c r="P90" s="7"/>
      <c r="T90">
        <f t="shared" si="11"/>
        <v>89</v>
      </c>
      <c r="U90" s="7">
        <v>1.75</v>
      </c>
      <c r="V90" s="7">
        <f t="shared" si="12"/>
        <v>14.12107142857143</v>
      </c>
      <c r="W90" s="7">
        <v>5.7119999999999997</v>
      </c>
      <c r="X90" s="7">
        <f t="shared" si="13"/>
        <v>42.519285714285715</v>
      </c>
    </row>
    <row r="91" spans="1:24" x14ac:dyDescent="0.3">
      <c r="A91" s="2">
        <v>45722</v>
      </c>
      <c r="B91" t="s">
        <v>7</v>
      </c>
      <c r="C91" s="3">
        <v>7</v>
      </c>
      <c r="D91" s="3">
        <v>5</v>
      </c>
      <c r="E91" s="3" t="s">
        <v>245</v>
      </c>
      <c r="F91" s="7">
        <f>VLOOKUP(Prediction!B91,Data!$A$1:$F$7,2,)*C91*D91/1000</f>
        <v>8.75</v>
      </c>
      <c r="G91" s="7">
        <f>VLOOKUP(B91,Data!$A$1:$F$7,4,FALSE)*C91*D91/1000</f>
        <v>28.56</v>
      </c>
      <c r="H91" s="7">
        <f>VLOOKUP(B91,Data!$A$1:$G$7,7,FALSE)*C91</f>
        <v>36400</v>
      </c>
      <c r="I91" s="7">
        <f t="shared" si="9"/>
        <v>35</v>
      </c>
      <c r="J91" s="7"/>
      <c r="L91">
        <f t="shared" si="10"/>
        <v>90</v>
      </c>
      <c r="M91" s="9">
        <v>45799</v>
      </c>
      <c r="N91" s="7">
        <v>24.9025</v>
      </c>
      <c r="O91" s="7">
        <v>71.606999999999999</v>
      </c>
      <c r="P91" s="7"/>
      <c r="T91">
        <f t="shared" si="11"/>
        <v>90</v>
      </c>
      <c r="U91" s="7">
        <v>29.08</v>
      </c>
      <c r="V91" s="7">
        <f t="shared" si="12"/>
        <v>17.275357142857143</v>
      </c>
      <c r="W91" s="7">
        <v>94.121499999999997</v>
      </c>
      <c r="X91" s="7">
        <f t="shared" si="13"/>
        <v>52.701214285714286</v>
      </c>
    </row>
    <row r="92" spans="1:24" x14ac:dyDescent="0.3">
      <c r="A92" s="2">
        <v>45723</v>
      </c>
      <c r="B92" t="s">
        <v>7</v>
      </c>
      <c r="C92" s="3">
        <v>7</v>
      </c>
      <c r="D92" s="3">
        <v>3</v>
      </c>
      <c r="E92" s="3" t="s">
        <v>245</v>
      </c>
      <c r="F92" s="7">
        <f>VLOOKUP(Prediction!B92,Data!$A$1:$F$7,2,)*C92*D92/1000</f>
        <v>5.25</v>
      </c>
      <c r="G92" s="7">
        <f>VLOOKUP(B92,Data!$A$1:$F$7,4,FALSE)*C92*D92/1000</f>
        <v>17.135999999999999</v>
      </c>
      <c r="H92" s="7">
        <f>VLOOKUP(B92,Data!$A$1:$G$7,7,FALSE)*C92</f>
        <v>36400</v>
      </c>
      <c r="I92" s="7">
        <f t="shared" si="9"/>
        <v>21</v>
      </c>
      <c r="J92" s="7"/>
      <c r="L92">
        <f t="shared" si="10"/>
        <v>91</v>
      </c>
      <c r="M92" s="9">
        <v>45800</v>
      </c>
      <c r="N92" s="7">
        <v>21.650000000000002</v>
      </c>
      <c r="O92" s="7">
        <v>68.690999999999988</v>
      </c>
      <c r="P92" s="7"/>
      <c r="T92">
        <f t="shared" si="11"/>
        <v>91</v>
      </c>
      <c r="U92" s="7">
        <v>3</v>
      </c>
      <c r="V92" s="7">
        <f t="shared" si="12"/>
        <v>15.500357142857144</v>
      </c>
      <c r="W92" s="7">
        <v>9.7919999999999998</v>
      </c>
      <c r="X92" s="7">
        <f t="shared" si="13"/>
        <v>47.301214285714288</v>
      </c>
    </row>
    <row r="93" spans="1:24" x14ac:dyDescent="0.3">
      <c r="A93" s="2">
        <v>45723</v>
      </c>
      <c r="B93" t="s">
        <v>4</v>
      </c>
      <c r="C93" s="3">
        <v>8.5</v>
      </c>
      <c r="D93" s="3">
        <v>1</v>
      </c>
      <c r="E93" s="3" t="s">
        <v>176</v>
      </c>
      <c r="F93" s="7">
        <f>VLOOKUP(Prediction!B93,Data!$A$1:$F$7,2,)*C93*D93/1000</f>
        <v>1.9550000000000001</v>
      </c>
      <c r="G93" s="7">
        <f>VLOOKUP(B93,Data!$A$1:$F$7,4,FALSE)*C93*D93/1000</f>
        <v>5.7119999999999997</v>
      </c>
      <c r="H93" s="7">
        <f>VLOOKUP(B93,Data!$A$1:$G$7,7,FALSE)*C93</f>
        <v>42500</v>
      </c>
      <c r="I93" s="7">
        <f t="shared" si="9"/>
        <v>8.5</v>
      </c>
      <c r="J93" s="7"/>
      <c r="L93">
        <f t="shared" si="10"/>
        <v>92</v>
      </c>
      <c r="M93" s="9">
        <v>45801</v>
      </c>
      <c r="N93" s="7">
        <v>11.620000000000001</v>
      </c>
      <c r="O93" s="7">
        <v>27.329000000000001</v>
      </c>
      <c r="P93" s="7"/>
      <c r="T93">
        <f t="shared" si="11"/>
        <v>92</v>
      </c>
      <c r="U93" s="7">
        <v>7.68</v>
      </c>
      <c r="V93" s="7">
        <f t="shared" si="12"/>
        <v>14.240357142857144</v>
      </c>
      <c r="W93" s="7">
        <v>15.071999999999999</v>
      </c>
      <c r="X93" s="7">
        <f t="shared" si="13"/>
        <v>41.760642857142855</v>
      </c>
    </row>
    <row r="94" spans="1:24" x14ac:dyDescent="0.3">
      <c r="A94" s="2">
        <v>45723</v>
      </c>
      <c r="B94" t="s">
        <v>9</v>
      </c>
      <c r="C94" s="3">
        <v>6.5</v>
      </c>
      <c r="D94" s="3">
        <v>5</v>
      </c>
      <c r="E94" s="3" t="s">
        <v>231</v>
      </c>
      <c r="F94" s="7">
        <f>VLOOKUP(Prediction!B94,Data!$A$1:$F$7,2,)*C94*D94/1000</f>
        <v>10.4</v>
      </c>
      <c r="G94" s="7">
        <f>VLOOKUP(B94,Data!$A$1:$F$7,4,FALSE)*C94*D94/1000</f>
        <v>20.41</v>
      </c>
      <c r="H94" s="7">
        <f>VLOOKUP(B94,Data!$A$1:$G$7,7,FALSE)*C94</f>
        <v>30550</v>
      </c>
      <c r="I94" s="7">
        <f t="shared" si="9"/>
        <v>32.5</v>
      </c>
      <c r="J94" s="7"/>
      <c r="L94">
        <f t="shared" si="10"/>
        <v>93</v>
      </c>
      <c r="M94" s="9">
        <v>45802</v>
      </c>
      <c r="N94" s="7">
        <v>1.75</v>
      </c>
      <c r="O94" s="7">
        <v>5.7119999999999997</v>
      </c>
      <c r="P94" s="7"/>
      <c r="T94">
        <f t="shared" si="11"/>
        <v>93</v>
      </c>
      <c r="U94" s="7">
        <v>8.6</v>
      </c>
      <c r="V94" s="7">
        <f t="shared" si="12"/>
        <v>11.911428571428571</v>
      </c>
      <c r="W94" s="7">
        <v>26.753999999999998</v>
      </c>
      <c r="X94" s="7">
        <f t="shared" si="13"/>
        <v>35.353071428571425</v>
      </c>
    </row>
    <row r="95" spans="1:24" x14ac:dyDescent="0.3">
      <c r="A95" s="2">
        <v>45724</v>
      </c>
      <c r="B95" t="s">
        <v>9</v>
      </c>
      <c r="C95" s="3">
        <v>6</v>
      </c>
      <c r="D95" s="3">
        <v>1</v>
      </c>
      <c r="E95" s="3" t="s">
        <v>231</v>
      </c>
      <c r="F95" s="7">
        <f>VLOOKUP(Prediction!B95,Data!$A$1:$F$7,2,)*C95*D95/1000</f>
        <v>1.92</v>
      </c>
      <c r="G95" s="7">
        <f>VLOOKUP(B95,Data!$A$1:$F$7,4,FALSE)*C95*D95/1000</f>
        <v>3.7679999999999998</v>
      </c>
      <c r="H95" s="7">
        <f>VLOOKUP(B95,Data!$A$1:$G$7,7,FALSE)*C95</f>
        <v>28200</v>
      </c>
      <c r="I95" s="7">
        <f t="shared" si="9"/>
        <v>6</v>
      </c>
      <c r="J95" s="7"/>
      <c r="L95">
        <f t="shared" si="10"/>
        <v>94</v>
      </c>
      <c r="M95" s="9">
        <v>45803</v>
      </c>
      <c r="N95" s="7">
        <v>29.08</v>
      </c>
      <c r="O95" s="7">
        <v>94.121499999999997</v>
      </c>
      <c r="P95" s="7"/>
    </row>
    <row r="96" spans="1:24" x14ac:dyDescent="0.3">
      <c r="A96" s="2">
        <v>45724</v>
      </c>
      <c r="B96" t="s">
        <v>9</v>
      </c>
      <c r="C96" s="3">
        <v>6.5</v>
      </c>
      <c r="D96" s="3">
        <v>1</v>
      </c>
      <c r="E96" s="3" t="s">
        <v>231</v>
      </c>
      <c r="F96" s="7">
        <f>VLOOKUP(Prediction!B96,Data!$A$1:$F$7,2,)*C96*D96/1000</f>
        <v>2.08</v>
      </c>
      <c r="G96" s="7">
        <f>VLOOKUP(B96,Data!$A$1:$F$7,4,FALSE)*C96*D96/1000</f>
        <v>4.0819999999999999</v>
      </c>
      <c r="H96" s="7">
        <f>VLOOKUP(B96,Data!$A$1:$G$7,7,FALSE)*C96</f>
        <v>30550</v>
      </c>
      <c r="I96" s="7">
        <f t="shared" si="9"/>
        <v>6.5</v>
      </c>
      <c r="J96" s="7"/>
      <c r="L96">
        <f t="shared" si="10"/>
        <v>95</v>
      </c>
      <c r="M96" s="9">
        <v>45804</v>
      </c>
      <c r="N96" s="7">
        <v>3</v>
      </c>
      <c r="O96" s="7">
        <v>9.7919999999999998</v>
      </c>
      <c r="P96" s="7"/>
    </row>
    <row r="97" spans="1:16" x14ac:dyDescent="0.3">
      <c r="A97" s="2">
        <v>45724</v>
      </c>
      <c r="B97" t="s">
        <v>9</v>
      </c>
      <c r="C97" s="3">
        <v>7</v>
      </c>
      <c r="D97" s="3">
        <v>3</v>
      </c>
      <c r="E97" s="3" t="s">
        <v>219</v>
      </c>
      <c r="F97" s="7">
        <f>VLOOKUP(Prediction!B97,Data!$A$1:$F$7,2,)*C97*D97/1000</f>
        <v>6.72</v>
      </c>
      <c r="G97" s="7">
        <f>VLOOKUP(B97,Data!$A$1:$F$7,4,FALSE)*C97*D97/1000</f>
        <v>13.188000000000001</v>
      </c>
      <c r="H97" s="7">
        <f>VLOOKUP(B97,Data!$A$1:$G$7,7,FALSE)*C97</f>
        <v>32900</v>
      </c>
      <c r="I97" s="7">
        <f t="shared" si="9"/>
        <v>21</v>
      </c>
      <c r="J97" s="7"/>
      <c r="L97">
        <f t="shared" si="10"/>
        <v>96</v>
      </c>
      <c r="M97" s="9">
        <v>45805</v>
      </c>
      <c r="N97" s="7">
        <v>7.68</v>
      </c>
      <c r="O97" s="7">
        <v>15.071999999999999</v>
      </c>
      <c r="P97" s="7"/>
    </row>
    <row r="98" spans="1:16" x14ac:dyDescent="0.3">
      <c r="A98" s="2">
        <v>45724</v>
      </c>
      <c r="B98" t="s">
        <v>17</v>
      </c>
      <c r="C98" s="3">
        <v>3</v>
      </c>
      <c r="D98" s="3">
        <v>1</v>
      </c>
      <c r="E98" s="3" t="s">
        <v>205</v>
      </c>
      <c r="F98" s="7">
        <f>VLOOKUP(Prediction!B98,Data!$A$1:$F$7,2,)*C98*D98/1000</f>
        <v>0.63</v>
      </c>
      <c r="G98" s="7">
        <f>VLOOKUP(B98,Data!$A$1:$F$7,4,FALSE)*C98*D98/1000</f>
        <v>2.319</v>
      </c>
      <c r="H98" s="7">
        <f>VLOOKUP(B98,Data!$A$1:$G$7,7,FALSE)*C98</f>
        <v>12000</v>
      </c>
      <c r="I98" s="7">
        <f t="shared" ref="I98:I130" si="14">C98*D98</f>
        <v>3</v>
      </c>
      <c r="J98" s="7"/>
      <c r="L98">
        <f t="shared" si="10"/>
        <v>97</v>
      </c>
      <c r="M98" s="9">
        <v>45806</v>
      </c>
      <c r="N98" s="7">
        <v>8.6</v>
      </c>
      <c r="O98" s="7">
        <v>26.753999999999998</v>
      </c>
      <c r="P98" s="7"/>
    </row>
    <row r="99" spans="1:16" x14ac:dyDescent="0.3">
      <c r="A99" s="2">
        <v>45724</v>
      </c>
      <c r="B99" t="s">
        <v>7</v>
      </c>
      <c r="C99" s="3">
        <v>7</v>
      </c>
      <c r="D99" s="3">
        <v>1</v>
      </c>
      <c r="E99" s="3" t="s">
        <v>232</v>
      </c>
      <c r="F99" s="7">
        <f>VLOOKUP(Prediction!B99,Data!$A$1:$F$7,2,)*C99*D99/1000</f>
        <v>1.75</v>
      </c>
      <c r="G99" s="7">
        <f>VLOOKUP(B99,Data!$A$1:$F$7,4,FALSE)*C99*D99/1000</f>
        <v>5.7119999999999997</v>
      </c>
      <c r="H99" s="7">
        <f>VLOOKUP(B99,Data!$A$1:$G$7,7,FALSE)*C99</f>
        <v>36400</v>
      </c>
      <c r="I99" s="7">
        <f t="shared" si="14"/>
        <v>7</v>
      </c>
      <c r="J99" s="7"/>
      <c r="L99">
        <f t="shared" si="10"/>
        <v>98</v>
      </c>
      <c r="M99" s="9" t="s">
        <v>99</v>
      </c>
      <c r="N99" s="7">
        <v>1353.3825000000002</v>
      </c>
      <c r="O99" s="7">
        <v>3815.4775</v>
      </c>
      <c r="P99" s="7"/>
    </row>
    <row r="100" spans="1:16" x14ac:dyDescent="0.3">
      <c r="A100" s="2">
        <v>45724</v>
      </c>
      <c r="B100" t="s">
        <v>13</v>
      </c>
      <c r="C100" s="3">
        <v>7</v>
      </c>
      <c r="D100" s="3">
        <v>1</v>
      </c>
      <c r="E100" s="3" t="s">
        <v>176</v>
      </c>
      <c r="F100" s="7">
        <f>VLOOKUP(Prediction!B100,Data!$A$1:$F$7,2,)*C100*D100/1000</f>
        <v>1.82</v>
      </c>
      <c r="G100" s="7">
        <f>VLOOKUP(B100,Data!$A$1:$F$7,4,FALSE)*C100*D100/1000</f>
        <v>5.0190000000000001</v>
      </c>
      <c r="H100" s="7">
        <f>VLOOKUP(B100,Data!$A$1:$G$7,7,FALSE)*C100</f>
        <v>30100</v>
      </c>
      <c r="I100" s="7">
        <f t="shared" si="14"/>
        <v>7</v>
      </c>
      <c r="J100" s="7"/>
    </row>
    <row r="101" spans="1:16" x14ac:dyDescent="0.3">
      <c r="A101" s="2">
        <v>45725</v>
      </c>
      <c r="B101" t="s">
        <v>4</v>
      </c>
      <c r="C101" s="3">
        <v>6.5</v>
      </c>
      <c r="D101" s="3">
        <v>3</v>
      </c>
      <c r="E101" s="3" t="s">
        <v>221</v>
      </c>
      <c r="F101" s="7">
        <f>VLOOKUP(Prediction!B101,Data!$A$1:$F$7,2,)*C101*D101/1000</f>
        <v>4.4850000000000003</v>
      </c>
      <c r="G101" s="7">
        <f>VLOOKUP(B101,Data!$A$1:$F$7,4,FALSE)*C101*D101/1000</f>
        <v>13.103999999999999</v>
      </c>
      <c r="H101" s="7">
        <f>VLOOKUP(B101,Data!$A$1:$G$7,7,FALSE)*C101</f>
        <v>32500</v>
      </c>
      <c r="I101" s="7">
        <f t="shared" si="14"/>
        <v>19.5</v>
      </c>
      <c r="J101" s="7"/>
    </row>
    <row r="102" spans="1:16" x14ac:dyDescent="0.3">
      <c r="A102" s="2">
        <v>45725</v>
      </c>
      <c r="B102" t="s">
        <v>4</v>
      </c>
      <c r="C102" s="3">
        <v>6.25</v>
      </c>
      <c r="D102" s="3">
        <v>2</v>
      </c>
      <c r="E102" s="3" t="s">
        <v>221</v>
      </c>
      <c r="F102" s="7">
        <f>VLOOKUP(Prediction!B102,Data!$A$1:$F$7,2,)*C102*D102/1000</f>
        <v>2.875</v>
      </c>
      <c r="G102" s="7">
        <f>VLOOKUP(B102,Data!$A$1:$F$7,4,FALSE)*C102*D102/1000</f>
        <v>8.4</v>
      </c>
      <c r="H102" s="7">
        <f>VLOOKUP(B102,Data!$A$1:$G$7,7,FALSE)*C102</f>
        <v>31250</v>
      </c>
      <c r="I102" s="7">
        <f t="shared" si="14"/>
        <v>12.5</v>
      </c>
      <c r="J102" s="7"/>
    </row>
    <row r="103" spans="1:16" x14ac:dyDescent="0.3">
      <c r="A103" s="2">
        <v>45725</v>
      </c>
      <c r="B103" t="s">
        <v>4</v>
      </c>
      <c r="C103" s="3">
        <v>3</v>
      </c>
      <c r="D103" s="3">
        <v>1</v>
      </c>
      <c r="E103" s="3" t="s">
        <v>221</v>
      </c>
      <c r="F103" s="7">
        <f>VLOOKUP(Prediction!B103,Data!$A$1:$F$7,2,)*C103*D103/1000</f>
        <v>0.69</v>
      </c>
      <c r="G103" s="7">
        <f>VLOOKUP(B103,Data!$A$1:$F$7,4,FALSE)*C103*D103/1000</f>
        <v>2.016</v>
      </c>
      <c r="H103" s="7">
        <f>VLOOKUP(B103,Data!$A$1:$G$7,7,FALSE)*C103</f>
        <v>15000</v>
      </c>
      <c r="I103" s="7">
        <f t="shared" si="14"/>
        <v>3</v>
      </c>
      <c r="J103" s="7"/>
    </row>
    <row r="104" spans="1:16" x14ac:dyDescent="0.3">
      <c r="A104" s="2">
        <v>45726</v>
      </c>
      <c r="B104" t="s">
        <v>9</v>
      </c>
      <c r="C104" s="3">
        <v>4</v>
      </c>
      <c r="D104" s="3">
        <v>1</v>
      </c>
      <c r="E104" s="3" t="s">
        <v>221</v>
      </c>
      <c r="F104" s="7">
        <f>VLOOKUP(Prediction!B104,Data!$A$1:$F$7,2,)*C104*D104/1000</f>
        <v>1.28</v>
      </c>
      <c r="G104" s="7">
        <f>VLOOKUP(B104,Data!$A$1:$F$7,4,FALSE)*C104*D104/1000</f>
        <v>2.512</v>
      </c>
      <c r="H104" s="7">
        <f>VLOOKUP(B104,Data!$A$1:$G$7,7,FALSE)*C104</f>
        <v>18800</v>
      </c>
      <c r="I104" s="7">
        <f t="shared" si="14"/>
        <v>4</v>
      </c>
      <c r="J104" s="7"/>
    </row>
    <row r="105" spans="1:16" x14ac:dyDescent="0.3">
      <c r="A105" s="2">
        <v>45727</v>
      </c>
      <c r="B105" t="s">
        <v>7</v>
      </c>
      <c r="C105" s="3">
        <v>7</v>
      </c>
      <c r="D105" s="3">
        <v>1</v>
      </c>
      <c r="E105" s="3" t="s">
        <v>232</v>
      </c>
      <c r="F105" s="7">
        <f>VLOOKUP(Prediction!B105,Data!$A$1:$F$7,2,)*C105*D105/1000</f>
        <v>1.75</v>
      </c>
      <c r="G105" s="7">
        <f>VLOOKUP(B105,Data!$A$1:$F$7,4,FALSE)*C105*D105/1000</f>
        <v>5.7119999999999997</v>
      </c>
      <c r="H105" s="7">
        <f>VLOOKUP(B105,Data!$A$1:$G$7,7,FALSE)*C105</f>
        <v>36400</v>
      </c>
      <c r="I105" s="7">
        <f t="shared" si="14"/>
        <v>7</v>
      </c>
      <c r="J105" s="7"/>
    </row>
    <row r="106" spans="1:16" x14ac:dyDescent="0.3">
      <c r="A106" s="2">
        <v>45727</v>
      </c>
      <c r="B106" t="s">
        <v>4</v>
      </c>
      <c r="C106" s="3">
        <v>8</v>
      </c>
      <c r="D106" s="3">
        <v>2</v>
      </c>
      <c r="E106" s="3" t="s">
        <v>209</v>
      </c>
      <c r="F106" s="7">
        <f>VLOOKUP(Prediction!B106,Data!$A$1:$F$7,2,)*C106*D106/1000</f>
        <v>3.68</v>
      </c>
      <c r="G106" s="7">
        <f>VLOOKUP(B106,Data!$A$1:$F$7,4,FALSE)*C106*D106/1000</f>
        <v>10.752000000000001</v>
      </c>
      <c r="H106" s="7">
        <f>VLOOKUP(B106,Data!$A$1:$G$7,7,FALSE)*C106</f>
        <v>40000</v>
      </c>
      <c r="I106" s="7">
        <f t="shared" si="14"/>
        <v>16</v>
      </c>
      <c r="J106" s="7"/>
    </row>
    <row r="107" spans="1:16" x14ac:dyDescent="0.3">
      <c r="A107" s="2">
        <v>45729</v>
      </c>
      <c r="B107" t="s">
        <v>7</v>
      </c>
      <c r="C107" s="3">
        <v>5</v>
      </c>
      <c r="D107" s="3">
        <v>1</v>
      </c>
      <c r="E107" s="3" t="s">
        <v>232</v>
      </c>
      <c r="F107" s="7">
        <f>VLOOKUP(Prediction!B107,Data!$A$1:$F$7,2,)*C107*D107/1000</f>
        <v>1.25</v>
      </c>
      <c r="G107" s="7">
        <f>VLOOKUP(B107,Data!$A$1:$F$7,4,FALSE)*C107*D107/1000</f>
        <v>4.08</v>
      </c>
      <c r="H107" s="7">
        <f>VLOOKUP(B107,Data!$A$1:$G$7,7,FALSE)*C107</f>
        <v>26000</v>
      </c>
      <c r="I107" s="7">
        <f t="shared" si="14"/>
        <v>5</v>
      </c>
      <c r="J107" s="7"/>
    </row>
    <row r="108" spans="1:16" x14ac:dyDescent="0.3">
      <c r="A108" s="2">
        <v>45730</v>
      </c>
      <c r="B108" t="s">
        <v>4</v>
      </c>
      <c r="C108" s="3">
        <v>3.5</v>
      </c>
      <c r="D108" s="3">
        <v>1</v>
      </c>
      <c r="E108" s="3" t="s">
        <v>190</v>
      </c>
      <c r="F108" s="7">
        <f>VLOOKUP(Prediction!B108,Data!$A$1:$F$7,2,)*C108*D108/1000</f>
        <v>0.80500000000000005</v>
      </c>
      <c r="G108" s="7">
        <f>VLOOKUP(B108,Data!$A$1:$F$7,4,FALSE)*C108*D108/1000</f>
        <v>2.3519999999999999</v>
      </c>
      <c r="H108" s="7">
        <f>VLOOKUP(B108,Data!$A$1:$G$7,7,FALSE)*C108</f>
        <v>17500</v>
      </c>
      <c r="I108" s="7">
        <f t="shared" si="14"/>
        <v>3.5</v>
      </c>
      <c r="J108" s="7"/>
    </row>
    <row r="109" spans="1:16" x14ac:dyDescent="0.3">
      <c r="A109" s="2">
        <v>45730</v>
      </c>
      <c r="B109" t="s">
        <v>4</v>
      </c>
      <c r="C109" s="3">
        <v>6.5</v>
      </c>
      <c r="D109" s="3">
        <v>8</v>
      </c>
      <c r="E109" s="3" t="s">
        <v>190</v>
      </c>
      <c r="F109" s="7">
        <f>VLOOKUP(Prediction!B109,Data!$A$1:$F$7,2,)*C109*D109/1000</f>
        <v>11.96</v>
      </c>
      <c r="G109" s="7">
        <f>VLOOKUP(B109,Data!$A$1:$F$7,4,FALSE)*C109*D109/1000</f>
        <v>34.944000000000003</v>
      </c>
      <c r="H109" s="7">
        <f>VLOOKUP(B109,Data!$A$1:$G$7,7,FALSE)*C109</f>
        <v>32500</v>
      </c>
      <c r="I109" s="7">
        <f t="shared" si="14"/>
        <v>52</v>
      </c>
      <c r="J109" s="7"/>
    </row>
    <row r="110" spans="1:16" x14ac:dyDescent="0.3">
      <c r="A110" s="2">
        <v>45732</v>
      </c>
      <c r="B110" t="s">
        <v>4</v>
      </c>
      <c r="C110" s="3">
        <v>7</v>
      </c>
      <c r="D110" s="3">
        <v>5</v>
      </c>
      <c r="E110" s="3" t="s">
        <v>187</v>
      </c>
      <c r="F110" s="7">
        <f>VLOOKUP(Prediction!B110,Data!$A$1:$F$7,2,)*C110*D110/1000</f>
        <v>8.0500000000000007</v>
      </c>
      <c r="G110" s="7">
        <f>VLOOKUP(B110,Data!$A$1:$F$7,4,FALSE)*C110*D110/1000</f>
        <v>23.52</v>
      </c>
      <c r="H110" s="7">
        <f>VLOOKUP(B110,Data!$A$1:$G$7,7,FALSE)*C110</f>
        <v>35000</v>
      </c>
      <c r="I110" s="7">
        <f t="shared" si="14"/>
        <v>35</v>
      </c>
      <c r="J110" s="7"/>
    </row>
    <row r="111" spans="1:16" x14ac:dyDescent="0.3">
      <c r="A111" s="2">
        <v>45732</v>
      </c>
      <c r="B111" t="s">
        <v>4</v>
      </c>
      <c r="C111" s="3">
        <v>3</v>
      </c>
      <c r="D111" s="3">
        <v>1</v>
      </c>
      <c r="E111" s="3" t="s">
        <v>187</v>
      </c>
      <c r="F111" s="7">
        <f>VLOOKUP(Prediction!B111,Data!$A$1:$F$7,2,)*C111*D111/1000</f>
        <v>0.69</v>
      </c>
      <c r="G111" s="7">
        <f>VLOOKUP(B111,Data!$A$1:$F$7,4,FALSE)*C111*D111/1000</f>
        <v>2.016</v>
      </c>
      <c r="H111" s="7">
        <f>VLOOKUP(B111,Data!$A$1:$G$7,7,FALSE)*C111</f>
        <v>15000</v>
      </c>
      <c r="I111" s="7">
        <f t="shared" si="14"/>
        <v>3</v>
      </c>
      <c r="J111" s="7"/>
    </row>
    <row r="112" spans="1:16" x14ac:dyDescent="0.3">
      <c r="A112" s="2">
        <v>45732</v>
      </c>
      <c r="B112" t="s">
        <v>4</v>
      </c>
      <c r="C112" s="3">
        <v>4</v>
      </c>
      <c r="D112" s="3">
        <v>1</v>
      </c>
      <c r="E112" s="3" t="s">
        <v>187</v>
      </c>
      <c r="F112" s="7">
        <f>VLOOKUP(Prediction!B112,Data!$A$1:$F$7,2,)*C112*D112/1000</f>
        <v>0.92</v>
      </c>
      <c r="G112" s="7">
        <f>VLOOKUP(B112,Data!$A$1:$F$7,4,FALSE)*C112*D112/1000</f>
        <v>2.6880000000000002</v>
      </c>
      <c r="H112" s="7">
        <f>VLOOKUP(B112,Data!$A$1:$G$7,7,FALSE)*C112</f>
        <v>20000</v>
      </c>
      <c r="I112" s="7">
        <f t="shared" si="14"/>
        <v>4</v>
      </c>
      <c r="J112" s="7"/>
    </row>
    <row r="113" spans="1:10" x14ac:dyDescent="0.3">
      <c r="A113" s="2">
        <v>45732</v>
      </c>
      <c r="B113" t="s">
        <v>17</v>
      </c>
      <c r="C113" s="3">
        <v>7</v>
      </c>
      <c r="D113" s="3">
        <v>2</v>
      </c>
      <c r="E113" s="3" t="s">
        <v>211</v>
      </c>
      <c r="F113" s="7">
        <f>VLOOKUP(Prediction!B113,Data!$A$1:$F$7,2,)*C113*D113/1000</f>
        <v>2.94</v>
      </c>
      <c r="G113" s="7">
        <f>VLOOKUP(B113,Data!$A$1:$F$7,4,FALSE)*C113*D113/1000</f>
        <v>10.821999999999999</v>
      </c>
      <c r="H113" s="7">
        <f>VLOOKUP(B113,Data!$A$1:$G$7,7,FALSE)*C113</f>
        <v>28000</v>
      </c>
      <c r="I113" s="7">
        <f t="shared" si="14"/>
        <v>14</v>
      </c>
      <c r="J113" s="7"/>
    </row>
    <row r="114" spans="1:10" x14ac:dyDescent="0.3">
      <c r="A114" s="2">
        <v>45732</v>
      </c>
      <c r="B114" t="s">
        <v>7</v>
      </c>
      <c r="C114" s="3">
        <v>7</v>
      </c>
      <c r="D114" s="3">
        <v>1</v>
      </c>
      <c r="E114" s="3" t="s">
        <v>232</v>
      </c>
      <c r="F114" s="7">
        <f>VLOOKUP(Prediction!B114,Data!$A$1:$F$7,2,)*C114*D114/1000</f>
        <v>1.75</v>
      </c>
      <c r="G114" s="7">
        <f>VLOOKUP(B114,Data!$A$1:$F$7,4,FALSE)*C114*D114/1000</f>
        <v>5.7119999999999997</v>
      </c>
      <c r="H114" s="7">
        <f>VLOOKUP(B114,Data!$A$1:$G$7,7,FALSE)*C114</f>
        <v>36400</v>
      </c>
      <c r="I114" s="7">
        <f t="shared" si="14"/>
        <v>7</v>
      </c>
      <c r="J114" s="7"/>
    </row>
    <row r="115" spans="1:10" x14ac:dyDescent="0.3">
      <c r="A115" s="2">
        <v>45732</v>
      </c>
      <c r="B115" t="s">
        <v>4</v>
      </c>
      <c r="C115" s="3">
        <v>7</v>
      </c>
      <c r="D115" s="3">
        <v>1</v>
      </c>
      <c r="E115" s="3" t="s">
        <v>180</v>
      </c>
      <c r="F115" s="7">
        <f>VLOOKUP(Prediction!B115,Data!$A$1:$F$7,2,)*C115*D115/1000</f>
        <v>1.61</v>
      </c>
      <c r="G115" s="7">
        <f>VLOOKUP(B115,Data!$A$1:$F$7,4,FALSE)*C115*D115/1000</f>
        <v>4.7039999999999997</v>
      </c>
      <c r="H115" s="7">
        <f>VLOOKUP(B115,Data!$A$1:$G$7,7,FALSE)*C115</f>
        <v>35000</v>
      </c>
      <c r="I115" s="7">
        <f t="shared" si="14"/>
        <v>7</v>
      </c>
      <c r="J115" s="7"/>
    </row>
    <row r="116" spans="1:10" x14ac:dyDescent="0.3">
      <c r="A116" s="2">
        <v>45732</v>
      </c>
      <c r="B116" t="s">
        <v>4</v>
      </c>
      <c r="C116" s="3">
        <v>5</v>
      </c>
      <c r="D116" s="3">
        <v>1</v>
      </c>
      <c r="E116" s="3" t="s">
        <v>180</v>
      </c>
      <c r="F116" s="7">
        <f>VLOOKUP(Prediction!B116,Data!$A$1:$F$7,2,)*C116*D116/1000</f>
        <v>1.1499999999999999</v>
      </c>
      <c r="G116" s="7">
        <f>VLOOKUP(B116,Data!$A$1:$F$7,4,FALSE)*C116*D116/1000</f>
        <v>3.36</v>
      </c>
      <c r="H116" s="7">
        <f>VLOOKUP(B116,Data!$A$1:$G$7,7,FALSE)*C116</f>
        <v>25000</v>
      </c>
      <c r="I116" s="7">
        <f t="shared" si="14"/>
        <v>5</v>
      </c>
      <c r="J116" s="7"/>
    </row>
    <row r="117" spans="1:10" x14ac:dyDescent="0.3">
      <c r="A117" s="2">
        <v>45733</v>
      </c>
      <c r="B117" t="s">
        <v>4</v>
      </c>
      <c r="C117" s="3">
        <v>7</v>
      </c>
      <c r="D117" s="3">
        <v>1</v>
      </c>
      <c r="E117" s="3" t="s">
        <v>238</v>
      </c>
      <c r="F117" s="7">
        <f>VLOOKUP(Prediction!B117,Data!$A$1:$F$7,2,)*C117*D117/1000</f>
        <v>1.61</v>
      </c>
      <c r="G117" s="7">
        <f>VLOOKUP(B117,Data!$A$1:$F$7,4,FALSE)*C117*D117/1000</f>
        <v>4.7039999999999997</v>
      </c>
      <c r="H117" s="7">
        <f>VLOOKUP(B117,Data!$A$1:$G$7,7,FALSE)*C117</f>
        <v>35000</v>
      </c>
      <c r="I117" s="7">
        <f t="shared" si="14"/>
        <v>7</v>
      </c>
      <c r="J117" s="7"/>
    </row>
    <row r="118" spans="1:10" x14ac:dyDescent="0.3">
      <c r="A118" s="2">
        <v>45733</v>
      </c>
      <c r="B118" t="s">
        <v>4</v>
      </c>
      <c r="C118" s="3">
        <v>6</v>
      </c>
      <c r="D118" s="3">
        <v>1</v>
      </c>
      <c r="E118" s="3" t="s">
        <v>238</v>
      </c>
      <c r="F118" s="7">
        <f>VLOOKUP(Prediction!B118,Data!$A$1:$F$7,2,)*C118*D118/1000</f>
        <v>1.38</v>
      </c>
      <c r="G118" s="7">
        <f>VLOOKUP(B118,Data!$A$1:$F$7,4,FALSE)*C118*D118/1000</f>
        <v>4.032</v>
      </c>
      <c r="H118" s="7">
        <f>VLOOKUP(B118,Data!$A$1:$G$7,7,FALSE)*C118</f>
        <v>30000</v>
      </c>
      <c r="I118" s="7">
        <f t="shared" si="14"/>
        <v>6</v>
      </c>
      <c r="J118" s="7"/>
    </row>
    <row r="119" spans="1:10" x14ac:dyDescent="0.3">
      <c r="A119" s="2">
        <v>45733</v>
      </c>
      <c r="B119" t="s">
        <v>4</v>
      </c>
      <c r="C119" s="3">
        <v>5.5</v>
      </c>
      <c r="D119" s="3">
        <v>1</v>
      </c>
      <c r="E119" s="3" t="s">
        <v>238</v>
      </c>
      <c r="F119" s="7">
        <f>VLOOKUP(Prediction!B119,Data!$A$1:$F$7,2,)*C119*D119/1000</f>
        <v>1.2649999999999999</v>
      </c>
      <c r="G119" s="7">
        <f>VLOOKUP(B119,Data!$A$1:$F$7,4,FALSE)*C119*D119/1000</f>
        <v>3.6960000000000002</v>
      </c>
      <c r="H119" s="7">
        <f>VLOOKUP(B119,Data!$A$1:$G$7,7,FALSE)*C119</f>
        <v>27500</v>
      </c>
      <c r="I119" s="7">
        <f t="shared" si="14"/>
        <v>5.5</v>
      </c>
      <c r="J119" s="7"/>
    </row>
    <row r="120" spans="1:10" x14ac:dyDescent="0.3">
      <c r="A120" s="2">
        <v>45734</v>
      </c>
      <c r="B120" t="s">
        <v>9</v>
      </c>
      <c r="C120" s="3">
        <v>7</v>
      </c>
      <c r="D120" s="3">
        <v>2</v>
      </c>
      <c r="E120" s="3" t="s">
        <v>249</v>
      </c>
      <c r="F120" s="7">
        <f>VLOOKUP(Prediction!B120,Data!$A$1:$F$7,2,)*C120*D120/1000</f>
        <v>4.4800000000000004</v>
      </c>
      <c r="G120" s="7">
        <f>VLOOKUP(B120,Data!$A$1:$F$7,4,FALSE)*C120*D120/1000</f>
        <v>8.7919999999999998</v>
      </c>
      <c r="H120" s="7">
        <f>VLOOKUP(B120,Data!$A$1:$G$7,7,FALSE)*C120</f>
        <v>32900</v>
      </c>
      <c r="I120" s="7">
        <f t="shared" si="14"/>
        <v>14</v>
      </c>
      <c r="J120" s="7"/>
    </row>
    <row r="121" spans="1:10" x14ac:dyDescent="0.3">
      <c r="A121" s="2">
        <v>45734</v>
      </c>
      <c r="B121" t="s">
        <v>9</v>
      </c>
      <c r="C121" s="3">
        <v>5</v>
      </c>
      <c r="D121" s="3">
        <v>1</v>
      </c>
      <c r="E121" s="3" t="s">
        <v>249</v>
      </c>
      <c r="F121" s="7">
        <f>VLOOKUP(Prediction!B121,Data!$A$1:$F$7,2,)*C121*D121/1000</f>
        <v>1.6</v>
      </c>
      <c r="G121" s="7">
        <f>VLOOKUP(B121,Data!$A$1:$F$7,4,FALSE)*C121*D121/1000</f>
        <v>3.14</v>
      </c>
      <c r="H121" s="7">
        <f>VLOOKUP(B121,Data!$A$1:$G$7,7,FALSE)*C121</f>
        <v>23500</v>
      </c>
      <c r="I121" s="7">
        <f t="shared" si="14"/>
        <v>5</v>
      </c>
      <c r="J121" s="7"/>
    </row>
    <row r="122" spans="1:10" x14ac:dyDescent="0.3">
      <c r="A122" s="2">
        <v>45734</v>
      </c>
      <c r="B122" t="s">
        <v>17</v>
      </c>
      <c r="C122" s="3">
        <v>4</v>
      </c>
      <c r="D122" s="3">
        <v>1</v>
      </c>
      <c r="E122" s="3" t="s">
        <v>211</v>
      </c>
      <c r="F122" s="7">
        <f>VLOOKUP(Prediction!B122,Data!$A$1:$F$7,2,)*C122*D122/1000</f>
        <v>0.84</v>
      </c>
      <c r="G122" s="7">
        <f>VLOOKUP(B122,Data!$A$1:$F$7,4,FALSE)*C122*D122/1000</f>
        <v>3.0920000000000001</v>
      </c>
      <c r="H122" s="7">
        <f>VLOOKUP(B122,Data!$A$1:$G$7,7,FALSE)*C122</f>
        <v>16000</v>
      </c>
      <c r="I122" s="7">
        <f t="shared" si="14"/>
        <v>4</v>
      </c>
      <c r="J122" s="7"/>
    </row>
    <row r="123" spans="1:10" x14ac:dyDescent="0.3">
      <c r="A123" s="2">
        <v>45735</v>
      </c>
      <c r="B123" t="s">
        <v>9</v>
      </c>
      <c r="C123" s="3">
        <v>6.5</v>
      </c>
      <c r="D123" s="3">
        <v>2</v>
      </c>
      <c r="E123" s="3" t="s">
        <v>244</v>
      </c>
      <c r="F123" s="7">
        <f>VLOOKUP(Prediction!B123,Data!$A$1:$F$7,2,)*C123*D123/1000</f>
        <v>4.16</v>
      </c>
      <c r="G123" s="7">
        <f>VLOOKUP(B123,Data!$A$1:$F$7,4,FALSE)*C123*D123/1000</f>
        <v>8.1639999999999997</v>
      </c>
      <c r="H123" s="7">
        <f>VLOOKUP(B123,Data!$A$1:$G$7,7,FALSE)*C123</f>
        <v>30550</v>
      </c>
      <c r="I123" s="7">
        <f t="shared" si="14"/>
        <v>13</v>
      </c>
      <c r="J123" s="7"/>
    </row>
    <row r="124" spans="1:10" x14ac:dyDescent="0.3">
      <c r="A124" s="2">
        <v>45736</v>
      </c>
      <c r="B124" t="s">
        <v>4</v>
      </c>
      <c r="C124" s="3">
        <v>7</v>
      </c>
      <c r="D124" s="3">
        <v>1</v>
      </c>
      <c r="E124" s="3" t="s">
        <v>216</v>
      </c>
      <c r="F124" s="7">
        <f>VLOOKUP(Prediction!B124,Data!$A$1:$F$7,2,)*C124*D124/1000</f>
        <v>1.61</v>
      </c>
      <c r="G124" s="7">
        <f>VLOOKUP(B124,Data!$A$1:$F$7,4,FALSE)*C124*D124/1000</f>
        <v>4.7039999999999997</v>
      </c>
      <c r="H124" s="7">
        <f>VLOOKUP(B124,Data!$A$1:$G$7,7,FALSE)*C124</f>
        <v>35000</v>
      </c>
      <c r="I124" s="7">
        <f t="shared" si="14"/>
        <v>7</v>
      </c>
      <c r="J124" s="7"/>
    </row>
    <row r="125" spans="1:10" x14ac:dyDescent="0.3">
      <c r="A125" s="2">
        <v>45736</v>
      </c>
      <c r="B125" t="s">
        <v>4</v>
      </c>
      <c r="C125" s="3">
        <v>6</v>
      </c>
      <c r="D125" s="3">
        <v>2</v>
      </c>
      <c r="E125" s="3" t="s">
        <v>223</v>
      </c>
      <c r="F125" s="7">
        <f>VLOOKUP(Prediction!B125,Data!$A$1:$F$7,2,)*C125*D125/1000</f>
        <v>2.76</v>
      </c>
      <c r="G125" s="7">
        <f>VLOOKUP(B125,Data!$A$1:$F$7,4,FALSE)*C125*D125/1000</f>
        <v>8.0640000000000001</v>
      </c>
      <c r="H125" s="7">
        <f>VLOOKUP(B125,Data!$A$1:$G$7,7,FALSE)*C125</f>
        <v>30000</v>
      </c>
      <c r="I125" s="7">
        <f t="shared" si="14"/>
        <v>12</v>
      </c>
      <c r="J125" s="7"/>
    </row>
    <row r="126" spans="1:10" x14ac:dyDescent="0.3">
      <c r="A126" s="2">
        <v>45738</v>
      </c>
      <c r="B126" t="s">
        <v>9</v>
      </c>
      <c r="C126" s="3">
        <v>7</v>
      </c>
      <c r="D126" s="3">
        <v>1</v>
      </c>
      <c r="E126" s="3" t="s">
        <v>234</v>
      </c>
      <c r="F126" s="7">
        <f>VLOOKUP(Prediction!B126,Data!$A$1:$F$7,2,)*C126*D126/1000</f>
        <v>2.2400000000000002</v>
      </c>
      <c r="G126" s="7">
        <f>VLOOKUP(B126,Data!$A$1:$F$7,4,FALSE)*C126*D126/1000</f>
        <v>4.3959999999999999</v>
      </c>
      <c r="H126" s="7">
        <f>VLOOKUP(B126,Data!$A$1:$G$7,7,FALSE)*C126</f>
        <v>32900</v>
      </c>
      <c r="I126" s="7">
        <f t="shared" si="14"/>
        <v>7</v>
      </c>
      <c r="J126" s="7"/>
    </row>
    <row r="127" spans="1:10" x14ac:dyDescent="0.3">
      <c r="A127" s="2">
        <v>45738</v>
      </c>
      <c r="B127" t="s">
        <v>13</v>
      </c>
      <c r="C127" s="3">
        <v>6.5</v>
      </c>
      <c r="D127" s="3">
        <v>2</v>
      </c>
      <c r="E127" s="3" t="s">
        <v>173</v>
      </c>
      <c r="F127" s="7">
        <f>VLOOKUP(Prediction!B127,Data!$A$1:$F$7,2,)*C127*D127/1000</f>
        <v>3.38</v>
      </c>
      <c r="G127" s="7">
        <f>VLOOKUP(B127,Data!$A$1:$F$7,4,FALSE)*C127*D127/1000</f>
        <v>9.3209999999999997</v>
      </c>
      <c r="H127" s="7">
        <f>VLOOKUP(B127,Data!$A$1:$G$7,7,FALSE)*C127</f>
        <v>27950</v>
      </c>
      <c r="I127" s="7">
        <f t="shared" si="14"/>
        <v>13</v>
      </c>
      <c r="J127" s="7"/>
    </row>
    <row r="128" spans="1:10" x14ac:dyDescent="0.3">
      <c r="A128" s="2">
        <v>45738</v>
      </c>
      <c r="B128" t="s">
        <v>13</v>
      </c>
      <c r="C128" s="3">
        <v>4.5</v>
      </c>
      <c r="D128" s="3">
        <v>1</v>
      </c>
      <c r="E128" s="3" t="s">
        <v>173</v>
      </c>
      <c r="F128" s="7">
        <f>VLOOKUP(Prediction!B128,Data!$A$1:$F$7,2,)*C128*D128/1000</f>
        <v>1.17</v>
      </c>
      <c r="G128" s="7">
        <f>VLOOKUP(B128,Data!$A$1:$F$7,4,FALSE)*C128*D128/1000</f>
        <v>3.2265000000000001</v>
      </c>
      <c r="H128" s="7">
        <f>VLOOKUP(B128,Data!$A$1:$G$7,7,FALSE)*C128</f>
        <v>19350</v>
      </c>
      <c r="I128" s="7">
        <f t="shared" si="14"/>
        <v>4.5</v>
      </c>
      <c r="J128" s="7"/>
    </row>
    <row r="129" spans="1:10" x14ac:dyDescent="0.3">
      <c r="A129" s="2">
        <v>45738</v>
      </c>
      <c r="B129" t="s">
        <v>13</v>
      </c>
      <c r="C129" s="3">
        <v>4</v>
      </c>
      <c r="D129" s="3">
        <v>1</v>
      </c>
      <c r="E129" s="3" t="s">
        <v>173</v>
      </c>
      <c r="F129" s="7">
        <f>VLOOKUP(Prediction!B129,Data!$A$1:$F$7,2,)*C129*D129/1000</f>
        <v>1.04</v>
      </c>
      <c r="G129" s="7">
        <f>VLOOKUP(B129,Data!$A$1:$F$7,4,FALSE)*C129*D129/1000</f>
        <v>2.8679999999999999</v>
      </c>
      <c r="H129" s="7">
        <f>VLOOKUP(B129,Data!$A$1:$G$7,7,FALSE)*C129</f>
        <v>17200</v>
      </c>
      <c r="I129" s="7">
        <f t="shared" si="14"/>
        <v>4</v>
      </c>
      <c r="J129" s="7"/>
    </row>
    <row r="130" spans="1:10" x14ac:dyDescent="0.3">
      <c r="A130" s="2">
        <v>45738</v>
      </c>
      <c r="B130" t="s">
        <v>13</v>
      </c>
      <c r="C130" s="3">
        <v>7</v>
      </c>
      <c r="D130" s="3">
        <v>3</v>
      </c>
      <c r="E130" s="3" t="s">
        <v>232</v>
      </c>
      <c r="F130" s="7">
        <f>VLOOKUP(Prediction!B130,Data!$A$1:$F$7,2,)*C130*D130/1000</f>
        <v>5.46</v>
      </c>
      <c r="G130" s="7">
        <f>VLOOKUP(B130,Data!$A$1:$F$7,4,FALSE)*C130*D130/1000</f>
        <v>15.057</v>
      </c>
      <c r="H130" s="7">
        <f>VLOOKUP(B130,Data!$A$1:$G$7,7,FALSE)*C130</f>
        <v>30100</v>
      </c>
      <c r="I130" s="7">
        <f t="shared" si="14"/>
        <v>21</v>
      </c>
      <c r="J130" s="7"/>
    </row>
    <row r="131" spans="1:10" x14ac:dyDescent="0.3">
      <c r="A131" s="2">
        <v>45739</v>
      </c>
      <c r="B131" t="s">
        <v>13</v>
      </c>
      <c r="C131" s="3">
        <v>7</v>
      </c>
      <c r="D131" s="3">
        <v>4</v>
      </c>
      <c r="E131" s="3" t="s">
        <v>232</v>
      </c>
      <c r="F131" s="7">
        <f>VLOOKUP(Prediction!B131,Data!$A$1:$F$7,2,)*C131*D131/1000</f>
        <v>7.28</v>
      </c>
      <c r="G131" s="7">
        <f>VLOOKUP(B131,Data!$A$1:$F$7,4,FALSE)*C131*D131/1000</f>
        <v>20.076000000000001</v>
      </c>
      <c r="H131" s="7">
        <f>VLOOKUP(B131,Data!$A$1:$G$7,7,FALSE)*C131</f>
        <v>30100</v>
      </c>
      <c r="I131" s="7">
        <f t="shared" ref="I131:I194" si="15">C131*D131</f>
        <v>28</v>
      </c>
      <c r="J131" s="7"/>
    </row>
    <row r="132" spans="1:10" x14ac:dyDescent="0.3">
      <c r="A132" s="2">
        <v>45739</v>
      </c>
      <c r="B132" t="s">
        <v>9</v>
      </c>
      <c r="C132" s="3">
        <v>6</v>
      </c>
      <c r="D132" s="3">
        <v>1</v>
      </c>
      <c r="E132" s="3" t="s">
        <v>210</v>
      </c>
      <c r="F132" s="7">
        <f>VLOOKUP(Prediction!B132,Data!$A$1:$F$7,2,)*C132*D132/1000</f>
        <v>1.92</v>
      </c>
      <c r="G132" s="7">
        <f>VLOOKUP(B132,Data!$A$1:$F$7,4,FALSE)*C132*D132/1000</f>
        <v>3.7679999999999998</v>
      </c>
      <c r="H132" s="7">
        <f>VLOOKUP(B132,Data!$A$1:$G$7,7,FALSE)*C132</f>
        <v>28200</v>
      </c>
      <c r="I132" s="7">
        <f t="shared" si="15"/>
        <v>6</v>
      </c>
      <c r="J132" s="7"/>
    </row>
    <row r="133" spans="1:10" x14ac:dyDescent="0.3">
      <c r="A133" s="2">
        <v>45739</v>
      </c>
      <c r="B133" t="s">
        <v>9</v>
      </c>
      <c r="C133" s="3">
        <v>5</v>
      </c>
      <c r="D133" s="3">
        <v>2</v>
      </c>
      <c r="E133" s="3" t="s">
        <v>210</v>
      </c>
      <c r="F133" s="7">
        <f>VLOOKUP(Prediction!B133,Data!$A$1:$F$7,2,)*C133*D133/1000</f>
        <v>3.2</v>
      </c>
      <c r="G133" s="7">
        <f>VLOOKUP(B133,Data!$A$1:$F$7,4,FALSE)*C133*D133/1000</f>
        <v>6.28</v>
      </c>
      <c r="H133" s="7">
        <f>VLOOKUP(B133,Data!$A$1:$G$7,7,FALSE)*C133</f>
        <v>23500</v>
      </c>
      <c r="I133" s="7">
        <f t="shared" si="15"/>
        <v>10</v>
      </c>
      <c r="J133" s="7"/>
    </row>
    <row r="134" spans="1:10" x14ac:dyDescent="0.3">
      <c r="A134" s="2">
        <v>45740</v>
      </c>
      <c r="B134" t="s">
        <v>4</v>
      </c>
      <c r="C134" s="3">
        <v>7</v>
      </c>
      <c r="D134" s="3">
        <v>11</v>
      </c>
      <c r="E134" s="3" t="s">
        <v>244</v>
      </c>
      <c r="F134" s="7">
        <f>VLOOKUP(Prediction!B134,Data!$A$1:$F$7,2,)*C134*D134/1000</f>
        <v>17.71</v>
      </c>
      <c r="G134" s="7">
        <f>VLOOKUP(B134,Data!$A$1:$F$7,4,FALSE)*C134*D134/1000</f>
        <v>51.744</v>
      </c>
      <c r="H134" s="7">
        <f>VLOOKUP(B134,Data!$A$1:$G$7,7,FALSE)*C134</f>
        <v>35000</v>
      </c>
      <c r="I134" s="7">
        <f t="shared" si="15"/>
        <v>77</v>
      </c>
      <c r="J134" s="7"/>
    </row>
    <row r="135" spans="1:10" x14ac:dyDescent="0.3">
      <c r="A135" s="2">
        <v>45741</v>
      </c>
      <c r="B135" t="s">
        <v>9</v>
      </c>
      <c r="C135" s="3">
        <v>7</v>
      </c>
      <c r="D135" s="3">
        <v>3</v>
      </c>
      <c r="E135" s="3" t="s">
        <v>202</v>
      </c>
      <c r="F135" s="7">
        <f>VLOOKUP(Prediction!B135,Data!$A$1:$F$7,2,)*C135*D135/1000</f>
        <v>6.72</v>
      </c>
      <c r="G135" s="7">
        <f>VLOOKUP(B135,Data!$A$1:$F$7,4,FALSE)*C135*D135/1000</f>
        <v>13.188000000000001</v>
      </c>
      <c r="H135" s="7">
        <f>VLOOKUP(B135,Data!$A$1:$G$7,7,FALSE)*C135</f>
        <v>32900</v>
      </c>
      <c r="I135" s="7">
        <f t="shared" si="15"/>
        <v>21</v>
      </c>
      <c r="J135" s="7"/>
    </row>
    <row r="136" spans="1:10" x14ac:dyDescent="0.3">
      <c r="A136" s="2">
        <v>45741</v>
      </c>
      <c r="B136" t="s">
        <v>9</v>
      </c>
      <c r="C136" s="3">
        <v>2.5</v>
      </c>
      <c r="D136" s="3">
        <v>1</v>
      </c>
      <c r="E136" s="3" t="s">
        <v>202</v>
      </c>
      <c r="F136" s="7">
        <f>VLOOKUP(Prediction!B136,Data!$A$1:$F$7,2,)*C136*D136/1000</f>
        <v>0.8</v>
      </c>
      <c r="G136" s="7">
        <f>VLOOKUP(B136,Data!$A$1:$F$7,4,FALSE)*C136*D136/1000</f>
        <v>1.57</v>
      </c>
      <c r="H136" s="7">
        <f>VLOOKUP(B136,Data!$A$1:$G$7,7,FALSE)*C136</f>
        <v>11750</v>
      </c>
      <c r="I136" s="7">
        <f t="shared" si="15"/>
        <v>2.5</v>
      </c>
      <c r="J136" s="7"/>
    </row>
    <row r="137" spans="1:10" x14ac:dyDescent="0.3">
      <c r="A137" s="2">
        <v>45741</v>
      </c>
      <c r="B137" t="s">
        <v>9</v>
      </c>
      <c r="C137" s="3">
        <v>2.5</v>
      </c>
      <c r="D137" s="3">
        <v>1</v>
      </c>
      <c r="E137" s="3" t="s">
        <v>234</v>
      </c>
      <c r="F137" s="7">
        <f>VLOOKUP(Prediction!B137,Data!$A$1:$F$7,2,)*C137*D137/1000</f>
        <v>0.8</v>
      </c>
      <c r="G137" s="7">
        <f>VLOOKUP(B137,Data!$A$1:$F$7,4,FALSE)*C137*D137/1000</f>
        <v>1.57</v>
      </c>
      <c r="H137" s="7">
        <f>VLOOKUP(B137,Data!$A$1:$G$7,7,FALSE)*C137</f>
        <v>11750</v>
      </c>
      <c r="I137" s="7">
        <f t="shared" si="15"/>
        <v>2.5</v>
      </c>
      <c r="J137" s="7"/>
    </row>
    <row r="138" spans="1:10" x14ac:dyDescent="0.3">
      <c r="A138" s="2">
        <v>45741</v>
      </c>
      <c r="B138" t="s">
        <v>4</v>
      </c>
      <c r="C138" s="3">
        <v>7</v>
      </c>
      <c r="D138" s="3">
        <v>5</v>
      </c>
      <c r="E138" s="3" t="s">
        <v>245</v>
      </c>
      <c r="F138" s="7">
        <f>VLOOKUP(Prediction!B138,Data!$A$1:$F$7,2,)*C138*D138/1000</f>
        <v>8.0500000000000007</v>
      </c>
      <c r="G138" s="7">
        <f>VLOOKUP(B138,Data!$A$1:$F$7,4,FALSE)*C138*D138/1000</f>
        <v>23.52</v>
      </c>
      <c r="H138" s="7">
        <f>VLOOKUP(B138,Data!$A$1:$G$7,7,FALSE)*C138</f>
        <v>35000</v>
      </c>
      <c r="I138" s="7">
        <f t="shared" si="15"/>
        <v>35</v>
      </c>
      <c r="J138" s="7"/>
    </row>
    <row r="139" spans="1:10" x14ac:dyDescent="0.3">
      <c r="A139" s="2">
        <v>45742</v>
      </c>
      <c r="B139" t="s">
        <v>4</v>
      </c>
      <c r="C139" s="3">
        <v>7</v>
      </c>
      <c r="D139" s="3">
        <v>2</v>
      </c>
      <c r="E139" s="3" t="s">
        <v>245</v>
      </c>
      <c r="F139" s="7">
        <f>VLOOKUP(Prediction!B139,Data!$A$1:$F$7,2,)*C139*D139/1000</f>
        <v>3.22</v>
      </c>
      <c r="G139" s="7">
        <f>VLOOKUP(B139,Data!$A$1:$F$7,4,FALSE)*C139*D139/1000</f>
        <v>9.4079999999999995</v>
      </c>
      <c r="H139" s="7">
        <f>VLOOKUP(B139,Data!$A$1:$G$7,7,FALSE)*C139</f>
        <v>35000</v>
      </c>
      <c r="I139" s="7">
        <f t="shared" si="15"/>
        <v>14</v>
      </c>
      <c r="J139" s="7"/>
    </row>
    <row r="140" spans="1:10" x14ac:dyDescent="0.3">
      <c r="A140" s="2">
        <v>45742</v>
      </c>
      <c r="B140" t="s">
        <v>7</v>
      </c>
      <c r="C140" s="3">
        <v>6</v>
      </c>
      <c r="D140" s="3">
        <v>5</v>
      </c>
      <c r="E140" s="3" t="s">
        <v>232</v>
      </c>
      <c r="F140" s="7">
        <f>VLOOKUP(Prediction!B140,Data!$A$1:$F$7,2,)*C140*D140/1000</f>
        <v>7.5</v>
      </c>
      <c r="G140" s="7">
        <f>VLOOKUP(B140,Data!$A$1:$F$7,4,FALSE)*C140*D140/1000</f>
        <v>24.48</v>
      </c>
      <c r="H140" s="7">
        <f>VLOOKUP(B140,Data!$A$1:$G$7,7,FALSE)*C140</f>
        <v>31200</v>
      </c>
      <c r="I140" s="7">
        <f t="shared" si="15"/>
        <v>30</v>
      </c>
      <c r="J140" s="7"/>
    </row>
    <row r="141" spans="1:10" x14ac:dyDescent="0.3">
      <c r="A141" s="2">
        <v>45742</v>
      </c>
      <c r="B141" t="s">
        <v>7</v>
      </c>
      <c r="C141" s="3">
        <v>8.5</v>
      </c>
      <c r="D141" s="3">
        <v>1</v>
      </c>
      <c r="E141" s="3" t="s">
        <v>176</v>
      </c>
      <c r="F141" s="7">
        <f>VLOOKUP(Prediction!B141,Data!$A$1:$F$7,2,)*C141*D141/1000</f>
        <v>2.125</v>
      </c>
      <c r="G141" s="7">
        <f>VLOOKUP(B141,Data!$A$1:$F$7,4,FALSE)*C141*D141/1000</f>
        <v>6.9359999999999999</v>
      </c>
      <c r="H141" s="7">
        <f>VLOOKUP(B141,Data!$A$1:$G$7,7,FALSE)*C141</f>
        <v>44200</v>
      </c>
      <c r="I141" s="7">
        <f t="shared" si="15"/>
        <v>8.5</v>
      </c>
      <c r="J141" s="7"/>
    </row>
    <row r="142" spans="1:10" x14ac:dyDescent="0.3">
      <c r="A142" s="2">
        <v>45743</v>
      </c>
      <c r="B142" t="s">
        <v>7</v>
      </c>
      <c r="C142" s="3">
        <v>6</v>
      </c>
      <c r="D142" s="3">
        <v>8</v>
      </c>
      <c r="E142" s="3" t="s">
        <v>232</v>
      </c>
      <c r="F142" s="7">
        <f>VLOOKUP(Prediction!B142,Data!$A$1:$F$7,2,)*C142*D142/1000</f>
        <v>12</v>
      </c>
      <c r="G142" s="7">
        <f>VLOOKUP(B142,Data!$A$1:$F$7,4,FALSE)*C142*D142/1000</f>
        <v>39.167999999999999</v>
      </c>
      <c r="H142" s="7">
        <f>VLOOKUP(B142,Data!$A$1:$G$7,7,FALSE)*C142</f>
        <v>31200</v>
      </c>
      <c r="I142" s="7">
        <f t="shared" si="15"/>
        <v>48</v>
      </c>
      <c r="J142" s="7"/>
    </row>
    <row r="143" spans="1:10" x14ac:dyDescent="0.3">
      <c r="A143" s="2">
        <v>45743</v>
      </c>
      <c r="B143" t="s">
        <v>7</v>
      </c>
      <c r="C143" s="3">
        <v>5</v>
      </c>
      <c r="D143" s="3">
        <v>1</v>
      </c>
      <c r="E143" s="3" t="s">
        <v>232</v>
      </c>
      <c r="F143" s="7">
        <f>VLOOKUP(Prediction!B143,Data!$A$1:$F$7,2,)*C143*D143/1000</f>
        <v>1.25</v>
      </c>
      <c r="G143" s="7">
        <f>VLOOKUP(B143,Data!$A$1:$F$7,4,FALSE)*C143*D143/1000</f>
        <v>4.08</v>
      </c>
      <c r="H143" s="7">
        <f>VLOOKUP(B143,Data!$A$1:$G$7,7,FALSE)*C143</f>
        <v>26000</v>
      </c>
      <c r="I143" s="7">
        <f t="shared" si="15"/>
        <v>5</v>
      </c>
      <c r="J143" s="7"/>
    </row>
    <row r="144" spans="1:10" x14ac:dyDescent="0.3">
      <c r="A144" s="2">
        <v>45743</v>
      </c>
      <c r="B144" t="s">
        <v>7</v>
      </c>
      <c r="C144" s="3">
        <v>2</v>
      </c>
      <c r="D144" s="3">
        <v>1</v>
      </c>
      <c r="E144" s="3" t="s">
        <v>232</v>
      </c>
      <c r="F144" s="7">
        <f>VLOOKUP(Prediction!B144,Data!$A$1:$F$7,2,)*C144*D144/1000</f>
        <v>0.5</v>
      </c>
      <c r="G144" s="7">
        <f>VLOOKUP(B144,Data!$A$1:$F$7,4,FALSE)*C144*D144/1000</f>
        <v>1.6319999999999999</v>
      </c>
      <c r="H144" s="7">
        <f>VLOOKUP(B144,Data!$A$1:$G$7,7,FALSE)*C144</f>
        <v>10400</v>
      </c>
      <c r="I144" s="7">
        <f t="shared" si="15"/>
        <v>2</v>
      </c>
      <c r="J144" s="7"/>
    </row>
    <row r="145" spans="1:10" x14ac:dyDescent="0.3">
      <c r="A145" s="2">
        <v>45744</v>
      </c>
      <c r="B145" t="s">
        <v>9</v>
      </c>
      <c r="C145" s="3">
        <v>4.5</v>
      </c>
      <c r="D145" s="3">
        <v>1</v>
      </c>
      <c r="E145" s="3" t="s">
        <v>198</v>
      </c>
      <c r="F145" s="7">
        <f>VLOOKUP(Prediction!B145,Data!$A$1:$F$7,2,)*C145*D145/1000</f>
        <v>1.44</v>
      </c>
      <c r="G145" s="7">
        <f>VLOOKUP(B145,Data!$A$1:$F$7,4,FALSE)*C145*D145/1000</f>
        <v>2.8260000000000001</v>
      </c>
      <c r="H145" s="7">
        <f>VLOOKUP(B145,Data!$A$1:$G$7,7,FALSE)*C145</f>
        <v>21150</v>
      </c>
      <c r="I145" s="7">
        <f t="shared" si="15"/>
        <v>4.5</v>
      </c>
      <c r="J145" s="7"/>
    </row>
    <row r="146" spans="1:10" x14ac:dyDescent="0.3">
      <c r="A146" s="2">
        <v>45744</v>
      </c>
      <c r="B146" t="s">
        <v>9</v>
      </c>
      <c r="C146" s="3">
        <v>4</v>
      </c>
      <c r="D146" s="3">
        <v>1</v>
      </c>
      <c r="E146" s="3" t="s">
        <v>198</v>
      </c>
      <c r="F146" s="7">
        <f>VLOOKUP(Prediction!B146,Data!$A$1:$F$7,2,)*C146*D146/1000</f>
        <v>1.28</v>
      </c>
      <c r="G146" s="7">
        <f>VLOOKUP(B146,Data!$A$1:$F$7,4,FALSE)*C146*D146/1000</f>
        <v>2.512</v>
      </c>
      <c r="H146" s="7">
        <f>VLOOKUP(B146,Data!$A$1:$G$7,7,FALSE)*C146</f>
        <v>18800</v>
      </c>
      <c r="I146" s="7">
        <f t="shared" si="15"/>
        <v>4</v>
      </c>
      <c r="J146" s="7"/>
    </row>
    <row r="147" spans="1:10" x14ac:dyDescent="0.3">
      <c r="A147" s="2">
        <v>45744</v>
      </c>
      <c r="B147" t="s">
        <v>17</v>
      </c>
      <c r="C147" s="3">
        <v>6</v>
      </c>
      <c r="D147" s="3">
        <v>7</v>
      </c>
      <c r="E147" s="3" t="s">
        <v>195</v>
      </c>
      <c r="F147" s="7">
        <f>VLOOKUP(Prediction!B147,Data!$A$1:$F$7,2,)*C147*D147/1000</f>
        <v>8.82</v>
      </c>
      <c r="G147" s="7">
        <f>VLOOKUP(B147,Data!$A$1:$F$7,4,FALSE)*C147*D147/1000</f>
        <v>32.466000000000001</v>
      </c>
      <c r="H147" s="7">
        <f>VLOOKUP(B147,Data!$A$1:$G$7,7,FALSE)*C147</f>
        <v>24000</v>
      </c>
      <c r="I147" s="7">
        <f t="shared" si="15"/>
        <v>42</v>
      </c>
      <c r="J147" s="7"/>
    </row>
    <row r="148" spans="1:10" x14ac:dyDescent="0.3">
      <c r="A148" s="2">
        <v>45744</v>
      </c>
      <c r="B148" t="s">
        <v>17</v>
      </c>
      <c r="C148" s="3">
        <v>6</v>
      </c>
      <c r="D148" s="3">
        <v>4</v>
      </c>
      <c r="E148" s="3" t="s">
        <v>196</v>
      </c>
      <c r="F148" s="7">
        <f>VLOOKUP(Prediction!B148,Data!$A$1:$F$7,2,)*C148*D148/1000</f>
        <v>5.04</v>
      </c>
      <c r="G148" s="7">
        <f>VLOOKUP(B148,Data!$A$1:$F$7,4,FALSE)*C148*D148/1000</f>
        <v>18.552</v>
      </c>
      <c r="H148" s="7">
        <f>VLOOKUP(B148,Data!$A$1:$G$7,7,FALSE)*C148</f>
        <v>24000</v>
      </c>
      <c r="I148" s="7">
        <f t="shared" si="15"/>
        <v>24</v>
      </c>
      <c r="J148" s="7"/>
    </row>
    <row r="149" spans="1:10" x14ac:dyDescent="0.3">
      <c r="A149" s="2">
        <v>45744</v>
      </c>
      <c r="B149" t="s">
        <v>9</v>
      </c>
      <c r="C149" s="3">
        <v>7</v>
      </c>
      <c r="D149" s="3">
        <v>3</v>
      </c>
      <c r="E149" s="3" t="s">
        <v>219</v>
      </c>
      <c r="F149" s="7">
        <f>VLOOKUP(Prediction!B149,Data!$A$1:$F$7,2,)*C149*D149/1000</f>
        <v>6.72</v>
      </c>
      <c r="G149" s="7">
        <f>VLOOKUP(B149,Data!$A$1:$F$7,4,FALSE)*C149*D149/1000</f>
        <v>13.188000000000001</v>
      </c>
      <c r="H149" s="7">
        <f>VLOOKUP(B149,Data!$A$1:$G$7,7,FALSE)*C149</f>
        <v>32900</v>
      </c>
      <c r="I149" s="7">
        <f t="shared" si="15"/>
        <v>21</v>
      </c>
      <c r="J149" s="7"/>
    </row>
    <row r="150" spans="1:10" x14ac:dyDescent="0.3">
      <c r="A150" s="2">
        <v>45744</v>
      </c>
      <c r="B150" t="s">
        <v>9</v>
      </c>
      <c r="C150" s="3">
        <v>6</v>
      </c>
      <c r="D150" s="3">
        <v>1</v>
      </c>
      <c r="E150" s="3" t="s">
        <v>219</v>
      </c>
      <c r="F150" s="7">
        <f>VLOOKUP(Prediction!B150,Data!$A$1:$F$7,2,)*C150*D150/1000</f>
        <v>1.92</v>
      </c>
      <c r="G150" s="7">
        <f>VLOOKUP(B150,Data!$A$1:$F$7,4,FALSE)*C150*D150/1000</f>
        <v>3.7679999999999998</v>
      </c>
      <c r="H150" s="7">
        <f>VLOOKUP(B150,Data!$A$1:$G$7,7,FALSE)*C150</f>
        <v>28200</v>
      </c>
      <c r="I150" s="7">
        <f t="shared" si="15"/>
        <v>6</v>
      </c>
      <c r="J150" s="7"/>
    </row>
    <row r="151" spans="1:10" x14ac:dyDescent="0.3">
      <c r="A151" s="2">
        <v>45744</v>
      </c>
      <c r="B151" t="s">
        <v>9</v>
      </c>
      <c r="C151" s="3">
        <v>3</v>
      </c>
      <c r="D151" s="3">
        <v>1</v>
      </c>
      <c r="E151" s="3" t="s">
        <v>219</v>
      </c>
      <c r="F151" s="7">
        <f>VLOOKUP(Prediction!B151,Data!$A$1:$F$7,2,)*C151*D151/1000</f>
        <v>0.96</v>
      </c>
      <c r="G151" s="7">
        <f>VLOOKUP(B151,Data!$A$1:$F$7,4,FALSE)*C151*D151/1000</f>
        <v>1.8839999999999999</v>
      </c>
      <c r="H151" s="7">
        <f>VLOOKUP(B151,Data!$A$1:$G$7,7,FALSE)*C151</f>
        <v>14100</v>
      </c>
      <c r="I151" s="7">
        <f t="shared" si="15"/>
        <v>3</v>
      </c>
      <c r="J151" s="7"/>
    </row>
    <row r="152" spans="1:10" x14ac:dyDescent="0.3">
      <c r="A152" s="2">
        <v>45744</v>
      </c>
      <c r="B152" t="s">
        <v>9</v>
      </c>
      <c r="C152" s="3">
        <v>7</v>
      </c>
      <c r="D152" s="3">
        <v>1</v>
      </c>
      <c r="E152" s="3" t="s">
        <v>244</v>
      </c>
      <c r="F152" s="7">
        <f>VLOOKUP(Prediction!B152,Data!$A$1:$F$7,2,)*C152*D152/1000</f>
        <v>2.2400000000000002</v>
      </c>
      <c r="G152" s="7">
        <f>VLOOKUP(B152,Data!$A$1:$F$7,4,FALSE)*C152*D152/1000</f>
        <v>4.3959999999999999</v>
      </c>
      <c r="H152" s="7">
        <f>VLOOKUP(B152,Data!$A$1:$G$7,7,FALSE)*C152</f>
        <v>32900</v>
      </c>
      <c r="I152" s="7">
        <f t="shared" si="15"/>
        <v>7</v>
      </c>
      <c r="J152" s="7"/>
    </row>
    <row r="153" spans="1:10" x14ac:dyDescent="0.3">
      <c r="A153" s="2">
        <v>45745</v>
      </c>
      <c r="B153" t="s">
        <v>7</v>
      </c>
      <c r="C153" s="3">
        <v>6</v>
      </c>
      <c r="D153" s="3">
        <v>38</v>
      </c>
      <c r="E153" s="3" t="s">
        <v>195</v>
      </c>
      <c r="F153" s="7">
        <f>VLOOKUP(Prediction!B153,Data!$A$1:$F$7,2,)*C153*D153/1000</f>
        <v>57</v>
      </c>
      <c r="G153" s="7">
        <f>VLOOKUP(B153,Data!$A$1:$F$7,4,FALSE)*C153*D153/1000</f>
        <v>186.048</v>
      </c>
      <c r="H153" s="7">
        <f>VLOOKUP(B153,Data!$A$1:$G$7,7,FALSE)*C153</f>
        <v>31200</v>
      </c>
      <c r="I153" s="7">
        <f t="shared" si="15"/>
        <v>228</v>
      </c>
      <c r="J153" s="7"/>
    </row>
    <row r="154" spans="1:10" x14ac:dyDescent="0.3">
      <c r="A154" s="2">
        <v>45748</v>
      </c>
      <c r="B154" t="s">
        <v>4</v>
      </c>
      <c r="C154" s="3">
        <v>7</v>
      </c>
      <c r="D154" s="3">
        <v>2</v>
      </c>
      <c r="E154" s="3" t="s">
        <v>244</v>
      </c>
      <c r="F154" s="7">
        <f>VLOOKUP(Prediction!B154,Data!$A$1:$F$7,2,)*C154*D154/1000</f>
        <v>3.22</v>
      </c>
      <c r="G154" s="7">
        <f>VLOOKUP(B154,Data!$A$1:$F$7,4,FALSE)*C154*D154/1000</f>
        <v>9.4079999999999995</v>
      </c>
      <c r="H154" s="7">
        <f>VLOOKUP(B154,Data!$A$1:$G$7,7,FALSE)*C154</f>
        <v>35000</v>
      </c>
      <c r="I154" s="7">
        <f t="shared" si="15"/>
        <v>14</v>
      </c>
      <c r="J154" s="7"/>
    </row>
    <row r="155" spans="1:10" x14ac:dyDescent="0.3">
      <c r="A155" s="2">
        <v>45749</v>
      </c>
      <c r="B155" t="s">
        <v>9</v>
      </c>
      <c r="C155" s="3">
        <v>6</v>
      </c>
      <c r="D155" s="3">
        <v>5</v>
      </c>
      <c r="E155" s="3" t="s">
        <v>221</v>
      </c>
      <c r="F155" s="7">
        <f>VLOOKUP(Prediction!B155,Data!$A$1:$F$7,2,)*C155*D155/1000</f>
        <v>9.6</v>
      </c>
      <c r="G155" s="7">
        <f>VLOOKUP(B155,Data!$A$1:$F$7,4,FALSE)*C155*D155/1000</f>
        <v>18.84</v>
      </c>
      <c r="H155" s="7">
        <f>VLOOKUP(B155,Data!$A$1:$G$7,7,FALSE)*C155</f>
        <v>28200</v>
      </c>
      <c r="I155" s="7">
        <f t="shared" si="15"/>
        <v>30</v>
      </c>
      <c r="J155" s="7"/>
    </row>
    <row r="156" spans="1:10" x14ac:dyDescent="0.3">
      <c r="A156" s="2">
        <v>45749</v>
      </c>
      <c r="B156" t="s">
        <v>4</v>
      </c>
      <c r="C156" s="3">
        <v>5.5</v>
      </c>
      <c r="D156" s="3">
        <v>1</v>
      </c>
      <c r="E156" s="3" t="s">
        <v>221</v>
      </c>
      <c r="F156" s="7">
        <f>VLOOKUP(Prediction!B156,Data!$A$1:$F$7,2,)*C156*D156/1000</f>
        <v>1.2649999999999999</v>
      </c>
      <c r="G156" s="7">
        <f>VLOOKUP(B156,Data!$A$1:$F$7,4,FALSE)*C156*D156/1000</f>
        <v>3.6960000000000002</v>
      </c>
      <c r="H156" s="7">
        <f>VLOOKUP(B156,Data!$A$1:$G$7,7,FALSE)*C156</f>
        <v>27500</v>
      </c>
      <c r="I156" s="7">
        <f t="shared" si="15"/>
        <v>5.5</v>
      </c>
      <c r="J156" s="7"/>
    </row>
    <row r="157" spans="1:10" x14ac:dyDescent="0.3">
      <c r="A157" s="2">
        <v>45749</v>
      </c>
      <c r="B157" t="s">
        <v>4</v>
      </c>
      <c r="C157" s="3">
        <v>2.5</v>
      </c>
      <c r="D157" s="3">
        <v>1</v>
      </c>
      <c r="E157" s="3" t="s">
        <v>192</v>
      </c>
      <c r="F157" s="7">
        <f>VLOOKUP(Prediction!B157,Data!$A$1:$F$7,2,)*C157*D157/1000</f>
        <v>0.57499999999999996</v>
      </c>
      <c r="G157" s="7">
        <f>VLOOKUP(B157,Data!$A$1:$F$7,4,FALSE)*C157*D157/1000</f>
        <v>1.68</v>
      </c>
      <c r="H157" s="7">
        <f>VLOOKUP(B157,Data!$A$1:$G$7,7,FALSE)*C157</f>
        <v>12500</v>
      </c>
      <c r="I157" s="7">
        <f t="shared" si="15"/>
        <v>2.5</v>
      </c>
      <c r="J157" s="7"/>
    </row>
    <row r="158" spans="1:10" x14ac:dyDescent="0.3">
      <c r="A158" s="2">
        <v>45749</v>
      </c>
      <c r="B158" t="s">
        <v>9</v>
      </c>
      <c r="C158" s="3">
        <v>7</v>
      </c>
      <c r="D158" s="3">
        <v>1</v>
      </c>
      <c r="E158" s="3" t="s">
        <v>196</v>
      </c>
      <c r="F158" s="7">
        <f>VLOOKUP(Prediction!B158,Data!$A$1:$F$7,2,)*C158*D158/1000</f>
        <v>2.2400000000000002</v>
      </c>
      <c r="G158" s="7">
        <f>VLOOKUP(B158,Data!$A$1:$F$7,4,FALSE)*C158*D158/1000</f>
        <v>4.3959999999999999</v>
      </c>
      <c r="H158" s="7">
        <f>VLOOKUP(B158,Data!$A$1:$G$7,7,FALSE)*C158</f>
        <v>32900</v>
      </c>
      <c r="I158" s="7">
        <f t="shared" si="15"/>
        <v>7</v>
      </c>
      <c r="J158" s="7"/>
    </row>
    <row r="159" spans="1:10" x14ac:dyDescent="0.3">
      <c r="A159" s="2">
        <v>45749</v>
      </c>
      <c r="B159" t="s">
        <v>9</v>
      </c>
      <c r="C159" s="3">
        <v>1</v>
      </c>
      <c r="D159" s="3">
        <v>1</v>
      </c>
      <c r="E159" s="3" t="s">
        <v>196</v>
      </c>
      <c r="F159" s="7">
        <f>VLOOKUP(Prediction!B159,Data!$A$1:$F$7,2,)*C159*D159/1000</f>
        <v>0.32</v>
      </c>
      <c r="G159" s="7">
        <f>VLOOKUP(B159,Data!$A$1:$F$7,4,FALSE)*C159*D159/1000</f>
        <v>0.628</v>
      </c>
      <c r="H159" s="7">
        <f>VLOOKUP(B159,Data!$A$1:$G$7,7,FALSE)*C159</f>
        <v>4700</v>
      </c>
      <c r="I159" s="7">
        <f t="shared" si="15"/>
        <v>1</v>
      </c>
      <c r="J159" s="7"/>
    </row>
    <row r="160" spans="1:10" x14ac:dyDescent="0.3">
      <c r="A160" s="2">
        <v>45749</v>
      </c>
      <c r="B160" t="s">
        <v>9</v>
      </c>
      <c r="C160" s="3">
        <v>6</v>
      </c>
      <c r="D160" s="3">
        <v>2</v>
      </c>
      <c r="E160" s="3" t="s">
        <v>181</v>
      </c>
      <c r="F160" s="7">
        <f>VLOOKUP(Prediction!B160,Data!$A$1:$F$7,2,)*C160*D160/1000</f>
        <v>3.84</v>
      </c>
      <c r="G160" s="7">
        <f>VLOOKUP(B160,Data!$A$1:$F$7,4,FALSE)*C160*D160/1000</f>
        <v>7.5359999999999996</v>
      </c>
      <c r="H160" s="7">
        <f>VLOOKUP(B160,Data!$A$1:$G$7,7,FALSE)*C160</f>
        <v>28200</v>
      </c>
      <c r="I160" s="7">
        <f t="shared" si="15"/>
        <v>12</v>
      </c>
      <c r="J160" s="7"/>
    </row>
    <row r="161" spans="1:10" x14ac:dyDescent="0.3">
      <c r="A161" s="2">
        <v>45749</v>
      </c>
      <c r="B161" t="s">
        <v>9</v>
      </c>
      <c r="C161" s="3">
        <v>7</v>
      </c>
      <c r="D161" s="3">
        <v>1</v>
      </c>
      <c r="E161" s="3" t="s">
        <v>188</v>
      </c>
      <c r="F161" s="7">
        <f>VLOOKUP(Prediction!B161,Data!$A$1:$F$7,2,)*C161*D161/1000</f>
        <v>2.2400000000000002</v>
      </c>
      <c r="G161" s="7">
        <f>VLOOKUP(B161,Data!$A$1:$F$7,4,FALSE)*C161*D161/1000</f>
        <v>4.3959999999999999</v>
      </c>
      <c r="H161" s="7">
        <f>VLOOKUP(B161,Data!$A$1:$G$7,7,FALSE)*C161</f>
        <v>32900</v>
      </c>
      <c r="I161" s="7">
        <f t="shared" si="15"/>
        <v>7</v>
      </c>
      <c r="J161" s="7"/>
    </row>
    <row r="162" spans="1:10" x14ac:dyDescent="0.3">
      <c r="A162" s="2">
        <v>45749</v>
      </c>
      <c r="B162" t="s">
        <v>9</v>
      </c>
      <c r="C162" s="3">
        <v>6</v>
      </c>
      <c r="D162" s="3">
        <v>1</v>
      </c>
      <c r="E162" s="3" t="s">
        <v>226</v>
      </c>
      <c r="F162" s="7">
        <f>VLOOKUP(Prediction!B162,Data!$A$1:$F$7,2,)*C162*D162/1000</f>
        <v>1.92</v>
      </c>
      <c r="G162" s="7">
        <f>VLOOKUP(B162,Data!$A$1:$F$7,4,FALSE)*C162*D162/1000</f>
        <v>3.7679999999999998</v>
      </c>
      <c r="H162" s="7">
        <f>VLOOKUP(B162,Data!$A$1:$G$7,7,FALSE)*C162</f>
        <v>28200</v>
      </c>
      <c r="I162" s="7">
        <f t="shared" si="15"/>
        <v>6</v>
      </c>
      <c r="J162" s="7"/>
    </row>
    <row r="163" spans="1:10" x14ac:dyDescent="0.3">
      <c r="A163" s="2">
        <v>45749</v>
      </c>
      <c r="B163" t="s">
        <v>9</v>
      </c>
      <c r="C163" s="3">
        <v>6.5</v>
      </c>
      <c r="D163" s="3">
        <v>2</v>
      </c>
      <c r="E163" s="3" t="s">
        <v>226</v>
      </c>
      <c r="F163" s="7">
        <f>VLOOKUP(Prediction!B163,Data!$A$1:$F$7,2,)*C163*D163/1000</f>
        <v>4.16</v>
      </c>
      <c r="G163" s="7">
        <f>VLOOKUP(B163,Data!$A$1:$F$7,4,FALSE)*C163*D163/1000</f>
        <v>8.1639999999999997</v>
      </c>
      <c r="H163" s="7">
        <f>VLOOKUP(B163,Data!$A$1:$G$7,7,FALSE)*C163</f>
        <v>30550</v>
      </c>
      <c r="I163" s="7">
        <f t="shared" si="15"/>
        <v>13</v>
      </c>
      <c r="J163" s="7"/>
    </row>
    <row r="164" spans="1:10" x14ac:dyDescent="0.3">
      <c r="A164" s="2">
        <v>45752</v>
      </c>
      <c r="B164" t="s">
        <v>9</v>
      </c>
      <c r="C164" s="3">
        <v>7</v>
      </c>
      <c r="D164" s="3">
        <v>3</v>
      </c>
      <c r="E164" s="3" t="s">
        <v>212</v>
      </c>
      <c r="F164" s="7">
        <f>VLOOKUP(Prediction!B164,Data!$A$1:$F$7,2,)*C164*D164/1000</f>
        <v>6.72</v>
      </c>
      <c r="G164" s="7">
        <f>VLOOKUP(B164,Data!$A$1:$F$7,4,FALSE)*C164*D164/1000</f>
        <v>13.188000000000001</v>
      </c>
      <c r="H164" s="7">
        <f>VLOOKUP(B164,Data!$A$1:$G$7,7,FALSE)*C164</f>
        <v>32900</v>
      </c>
      <c r="I164" s="7">
        <f t="shared" si="15"/>
        <v>21</v>
      </c>
      <c r="J164" s="7"/>
    </row>
    <row r="165" spans="1:10" x14ac:dyDescent="0.3">
      <c r="A165" s="2">
        <v>45753</v>
      </c>
      <c r="B165" t="s">
        <v>4</v>
      </c>
      <c r="C165" s="3">
        <v>6</v>
      </c>
      <c r="D165" s="3">
        <v>40</v>
      </c>
      <c r="E165" s="3" t="s">
        <v>229</v>
      </c>
      <c r="F165" s="7">
        <f>VLOOKUP(Prediction!B165,Data!$A$1:$F$7,2,)*C165*D165/1000</f>
        <v>55.2</v>
      </c>
      <c r="G165" s="7">
        <f>VLOOKUP(B165,Data!$A$1:$F$7,4,FALSE)*C165*D165/1000</f>
        <v>161.28</v>
      </c>
      <c r="H165" s="7">
        <f>VLOOKUP(B165,Data!$A$1:$G$7,7,FALSE)*C165</f>
        <v>30000</v>
      </c>
      <c r="I165" s="7">
        <f t="shared" si="15"/>
        <v>240</v>
      </c>
      <c r="J165" s="7"/>
    </row>
    <row r="166" spans="1:10" x14ac:dyDescent="0.3">
      <c r="A166" s="2">
        <v>45754</v>
      </c>
      <c r="B166" t="s">
        <v>17</v>
      </c>
      <c r="C166" s="3">
        <v>6</v>
      </c>
      <c r="D166" s="3">
        <v>1</v>
      </c>
      <c r="E166" s="3" t="s">
        <v>244</v>
      </c>
      <c r="F166" s="7">
        <f>VLOOKUP(Prediction!B166,Data!$A$1:$F$7,2,)*C166*D166/1000</f>
        <v>1.26</v>
      </c>
      <c r="G166" s="7">
        <f>VLOOKUP(B166,Data!$A$1:$F$7,4,FALSE)*C166*D166/1000</f>
        <v>4.6379999999999999</v>
      </c>
      <c r="H166" s="7">
        <f>VLOOKUP(B166,Data!$A$1:$G$7,7,FALSE)*C166</f>
        <v>24000</v>
      </c>
      <c r="I166" s="7">
        <f t="shared" si="15"/>
        <v>6</v>
      </c>
      <c r="J166" s="7"/>
    </row>
    <row r="167" spans="1:10" x14ac:dyDescent="0.3">
      <c r="A167" s="2">
        <v>45754</v>
      </c>
      <c r="B167" t="s">
        <v>17</v>
      </c>
      <c r="C167" s="3">
        <v>1</v>
      </c>
      <c r="D167" s="3">
        <v>1</v>
      </c>
      <c r="E167" s="3" t="s">
        <v>244</v>
      </c>
      <c r="F167" s="7">
        <f>VLOOKUP(Prediction!B167,Data!$A$1:$F$7,2,)*C167*D167/1000</f>
        <v>0.21</v>
      </c>
      <c r="G167" s="7">
        <f>VLOOKUP(B167,Data!$A$1:$F$7,4,FALSE)*C167*D167/1000</f>
        <v>0.77300000000000002</v>
      </c>
      <c r="H167" s="7">
        <f>VLOOKUP(B167,Data!$A$1:$G$7,7,FALSE)*C167</f>
        <v>4000</v>
      </c>
      <c r="I167" s="7">
        <f t="shared" si="15"/>
        <v>1</v>
      </c>
      <c r="J167" s="7"/>
    </row>
    <row r="168" spans="1:10" x14ac:dyDescent="0.3">
      <c r="A168" s="2">
        <v>45754</v>
      </c>
      <c r="B168" t="s">
        <v>4</v>
      </c>
      <c r="C168" s="3">
        <v>7</v>
      </c>
      <c r="D168" s="3">
        <v>8</v>
      </c>
      <c r="E168" s="3" t="s">
        <v>250</v>
      </c>
      <c r="F168" s="7">
        <f>VLOOKUP(Prediction!B168,Data!$A$1:$F$7,2,)*C168*D168/1000</f>
        <v>12.88</v>
      </c>
      <c r="G168" s="7">
        <f>VLOOKUP(B168,Data!$A$1:$F$7,4,FALSE)*C168*D168/1000</f>
        <v>37.631999999999998</v>
      </c>
      <c r="H168" s="7">
        <f>VLOOKUP(B168,Data!$A$1:$G$7,7,FALSE)*C168</f>
        <v>35000</v>
      </c>
      <c r="I168" s="7">
        <f t="shared" si="15"/>
        <v>56</v>
      </c>
      <c r="J168" s="7"/>
    </row>
    <row r="169" spans="1:10" x14ac:dyDescent="0.3">
      <c r="A169" s="2">
        <v>45754</v>
      </c>
      <c r="B169" t="s">
        <v>4</v>
      </c>
      <c r="C169" s="3">
        <v>6</v>
      </c>
      <c r="D169" s="3">
        <v>1</v>
      </c>
      <c r="E169" s="3" t="s">
        <v>250</v>
      </c>
      <c r="F169" s="7">
        <f>VLOOKUP(Prediction!B169,Data!$A$1:$F$7,2,)*C169*D169/1000</f>
        <v>1.38</v>
      </c>
      <c r="G169" s="7">
        <f>VLOOKUP(B169,Data!$A$1:$F$7,4,FALSE)*C169*D169/1000</f>
        <v>4.032</v>
      </c>
      <c r="H169" s="7">
        <f>VLOOKUP(B169,Data!$A$1:$G$7,7,FALSE)*C169</f>
        <v>30000</v>
      </c>
      <c r="I169" s="7">
        <f t="shared" si="15"/>
        <v>6</v>
      </c>
      <c r="J169" s="7"/>
    </row>
    <row r="170" spans="1:10" x14ac:dyDescent="0.3">
      <c r="A170" s="2">
        <v>45754</v>
      </c>
      <c r="B170" t="s">
        <v>4</v>
      </c>
      <c r="C170" s="3">
        <v>6.5</v>
      </c>
      <c r="D170" s="3">
        <v>1</v>
      </c>
      <c r="E170" s="3" t="s">
        <v>250</v>
      </c>
      <c r="F170" s="7">
        <f>VLOOKUP(Prediction!B170,Data!$A$1:$F$7,2,)*C170*D170/1000</f>
        <v>1.4950000000000001</v>
      </c>
      <c r="G170" s="7">
        <f>VLOOKUP(B170,Data!$A$1:$F$7,4,FALSE)*C170*D170/1000</f>
        <v>4.3680000000000003</v>
      </c>
      <c r="H170" s="7">
        <f>VLOOKUP(B170,Data!$A$1:$G$7,7,FALSE)*C170</f>
        <v>32500</v>
      </c>
      <c r="I170" s="7">
        <f t="shared" si="15"/>
        <v>6.5</v>
      </c>
      <c r="J170" s="7"/>
    </row>
    <row r="171" spans="1:10" x14ac:dyDescent="0.3">
      <c r="A171" s="2">
        <v>45754</v>
      </c>
      <c r="B171" t="s">
        <v>17</v>
      </c>
      <c r="C171" s="3">
        <v>6</v>
      </c>
      <c r="D171" s="3">
        <v>2</v>
      </c>
      <c r="E171" s="3" t="s">
        <v>231</v>
      </c>
      <c r="F171" s="7">
        <f>VLOOKUP(Prediction!B171,Data!$A$1:$F$7,2,)*C171*D171/1000</f>
        <v>2.52</v>
      </c>
      <c r="G171" s="7">
        <f>VLOOKUP(B171,Data!$A$1:$F$7,4,FALSE)*C171*D171/1000</f>
        <v>9.2759999999999998</v>
      </c>
      <c r="H171" s="7">
        <f>VLOOKUP(B171,Data!$A$1:$G$7,7,FALSE)*C171</f>
        <v>24000</v>
      </c>
      <c r="I171" s="7">
        <f t="shared" si="15"/>
        <v>12</v>
      </c>
      <c r="J171" s="7"/>
    </row>
    <row r="172" spans="1:10" x14ac:dyDescent="0.3">
      <c r="A172" s="2">
        <v>45755</v>
      </c>
      <c r="B172" t="s">
        <v>9</v>
      </c>
      <c r="C172" s="3">
        <v>3</v>
      </c>
      <c r="D172" s="3">
        <v>3</v>
      </c>
      <c r="E172" s="3" t="s">
        <v>235</v>
      </c>
      <c r="F172" s="7">
        <f>VLOOKUP(Prediction!B172,Data!$A$1:$F$7,2,)*C172*D172/1000</f>
        <v>2.88</v>
      </c>
      <c r="G172" s="7">
        <f>VLOOKUP(B172,Data!$A$1:$F$7,4,FALSE)*C172*D172/1000</f>
        <v>5.6520000000000001</v>
      </c>
      <c r="H172" s="7">
        <f>VLOOKUP(B172,Data!$A$1:$G$7,7,FALSE)*C172</f>
        <v>14100</v>
      </c>
      <c r="I172" s="7">
        <f t="shared" si="15"/>
        <v>9</v>
      </c>
      <c r="J172" s="7"/>
    </row>
    <row r="173" spans="1:10" x14ac:dyDescent="0.3">
      <c r="A173" s="2">
        <v>45755</v>
      </c>
      <c r="B173" t="s">
        <v>17</v>
      </c>
      <c r="C173" s="3">
        <v>1</v>
      </c>
      <c r="D173" s="3">
        <v>1</v>
      </c>
      <c r="E173" s="3" t="s">
        <v>235</v>
      </c>
      <c r="F173" s="7">
        <f>VLOOKUP(Prediction!B173,Data!$A$1:$F$7,2,)*C173*D173/1000</f>
        <v>0.21</v>
      </c>
      <c r="G173" s="7">
        <f>VLOOKUP(B173,Data!$A$1:$F$7,4,FALSE)*C173*D173/1000</f>
        <v>0.77300000000000002</v>
      </c>
      <c r="H173" s="7">
        <f>VLOOKUP(B173,Data!$A$1:$G$7,7,FALSE)*C173</f>
        <v>4000</v>
      </c>
      <c r="I173" s="7">
        <f t="shared" si="15"/>
        <v>1</v>
      </c>
      <c r="J173" s="7"/>
    </row>
    <row r="174" spans="1:10" x14ac:dyDescent="0.3">
      <c r="A174" s="2">
        <v>45755</v>
      </c>
      <c r="B174" t="s">
        <v>9</v>
      </c>
      <c r="C174" s="3">
        <v>6</v>
      </c>
      <c r="D174" s="3">
        <v>1</v>
      </c>
      <c r="E174" s="3" t="s">
        <v>196</v>
      </c>
      <c r="F174" s="7">
        <f>VLOOKUP(Prediction!B174,Data!$A$1:$F$7,2,)*C174*D174/1000</f>
        <v>1.92</v>
      </c>
      <c r="G174" s="7">
        <f>VLOOKUP(B174,Data!$A$1:$F$7,4,FALSE)*C174*D174/1000</f>
        <v>3.7679999999999998</v>
      </c>
      <c r="H174" s="7">
        <f>VLOOKUP(B174,Data!$A$1:$G$7,7,FALSE)*C174</f>
        <v>28200</v>
      </c>
      <c r="I174" s="7">
        <f t="shared" si="15"/>
        <v>6</v>
      </c>
      <c r="J174" s="7"/>
    </row>
    <row r="175" spans="1:10" x14ac:dyDescent="0.3">
      <c r="A175" s="2">
        <v>45755</v>
      </c>
      <c r="B175" t="s">
        <v>9</v>
      </c>
      <c r="C175" s="3">
        <v>8</v>
      </c>
      <c r="D175" s="3">
        <v>1</v>
      </c>
      <c r="E175" s="3" t="s">
        <v>196</v>
      </c>
      <c r="F175" s="7">
        <f>VLOOKUP(Prediction!B175,Data!$A$1:$F$7,2,)*C175*D175/1000</f>
        <v>2.56</v>
      </c>
      <c r="G175" s="7">
        <f>VLOOKUP(B175,Data!$A$1:$F$7,4,FALSE)*C175*D175/1000</f>
        <v>5.024</v>
      </c>
      <c r="H175" s="7">
        <f>VLOOKUP(B175,Data!$A$1:$G$7,7,FALSE)*C175</f>
        <v>37600</v>
      </c>
      <c r="I175" s="7">
        <f t="shared" si="15"/>
        <v>8</v>
      </c>
      <c r="J175" s="7"/>
    </row>
    <row r="176" spans="1:10" x14ac:dyDescent="0.3">
      <c r="A176" s="2">
        <v>45755</v>
      </c>
      <c r="B176" t="s">
        <v>4</v>
      </c>
      <c r="C176" s="3">
        <v>7</v>
      </c>
      <c r="D176" s="3">
        <v>2</v>
      </c>
      <c r="E176" s="3" t="s">
        <v>244</v>
      </c>
      <c r="F176" s="7">
        <f>VLOOKUP(Prediction!B176,Data!$A$1:$F$7,2,)*C176*D176/1000</f>
        <v>3.22</v>
      </c>
      <c r="G176" s="7">
        <f>VLOOKUP(B176,Data!$A$1:$F$7,4,FALSE)*C176*D176/1000</f>
        <v>9.4079999999999995</v>
      </c>
      <c r="H176" s="7">
        <f>VLOOKUP(B176,Data!$A$1:$G$7,7,FALSE)*C176</f>
        <v>35000</v>
      </c>
      <c r="I176" s="7">
        <f t="shared" si="15"/>
        <v>14</v>
      </c>
      <c r="J176" s="7"/>
    </row>
    <row r="177" spans="1:10" x14ac:dyDescent="0.3">
      <c r="A177" s="2">
        <v>45757</v>
      </c>
      <c r="B177" t="s">
        <v>9</v>
      </c>
      <c r="C177" s="3">
        <v>5.25</v>
      </c>
      <c r="D177" s="3">
        <v>2</v>
      </c>
      <c r="E177" s="3" t="s">
        <v>234</v>
      </c>
      <c r="F177" s="7">
        <f>VLOOKUP(Prediction!B177,Data!$A$1:$F$7,2,)*C177*D177/1000</f>
        <v>3.36</v>
      </c>
      <c r="G177" s="7">
        <f>VLOOKUP(B177,Data!$A$1:$F$7,4,FALSE)*C177*D177/1000</f>
        <v>6.5940000000000003</v>
      </c>
      <c r="H177" s="7">
        <f>VLOOKUP(B177,Data!$A$1:$G$7,7,FALSE)*C177</f>
        <v>24675</v>
      </c>
      <c r="I177" s="7">
        <f t="shared" si="15"/>
        <v>10.5</v>
      </c>
      <c r="J177" s="7"/>
    </row>
    <row r="178" spans="1:10" x14ac:dyDescent="0.3">
      <c r="A178" s="2">
        <v>45757</v>
      </c>
      <c r="B178" t="s">
        <v>4</v>
      </c>
      <c r="C178" s="3">
        <v>7</v>
      </c>
      <c r="D178" s="3">
        <v>7</v>
      </c>
      <c r="E178" s="3" t="s">
        <v>245</v>
      </c>
      <c r="F178" s="7">
        <f>VLOOKUP(Prediction!B178,Data!$A$1:$F$7,2,)*C178*D178/1000</f>
        <v>11.27</v>
      </c>
      <c r="G178" s="7">
        <f>VLOOKUP(B178,Data!$A$1:$F$7,4,FALSE)*C178*D178/1000</f>
        <v>32.927999999999997</v>
      </c>
      <c r="H178" s="7">
        <f>VLOOKUP(B178,Data!$A$1:$G$7,7,FALSE)*C178</f>
        <v>35000</v>
      </c>
      <c r="I178" s="7">
        <f t="shared" si="15"/>
        <v>49</v>
      </c>
      <c r="J178" s="7"/>
    </row>
    <row r="179" spans="1:10" x14ac:dyDescent="0.3">
      <c r="A179" s="2">
        <v>45758</v>
      </c>
      <c r="B179" t="s">
        <v>9</v>
      </c>
      <c r="C179" s="3">
        <v>6</v>
      </c>
      <c r="D179" s="3">
        <v>1</v>
      </c>
      <c r="E179" s="3" t="s">
        <v>196</v>
      </c>
      <c r="F179" s="7">
        <f>VLOOKUP(Prediction!B179,Data!$A$1:$F$7,2,)*C179*D179/1000</f>
        <v>1.92</v>
      </c>
      <c r="G179" s="7">
        <f>VLOOKUP(B179,Data!$A$1:$F$7,4,FALSE)*C179*D179/1000</f>
        <v>3.7679999999999998</v>
      </c>
      <c r="H179" s="7">
        <f>VLOOKUP(B179,Data!$A$1:$G$7,7,FALSE)*C179</f>
        <v>28200</v>
      </c>
      <c r="I179" s="7">
        <f t="shared" si="15"/>
        <v>6</v>
      </c>
      <c r="J179" s="7"/>
    </row>
    <row r="180" spans="1:10" x14ac:dyDescent="0.3">
      <c r="A180" s="2">
        <v>45758</v>
      </c>
      <c r="B180" t="s">
        <v>9</v>
      </c>
      <c r="C180" s="3">
        <v>7</v>
      </c>
      <c r="D180" s="3">
        <v>4</v>
      </c>
      <c r="E180" s="3" t="s">
        <v>186</v>
      </c>
      <c r="F180" s="7">
        <f>VLOOKUP(Prediction!B180,Data!$A$1:$F$7,2,)*C180*D180/1000</f>
        <v>8.9600000000000009</v>
      </c>
      <c r="G180" s="7">
        <f>VLOOKUP(B180,Data!$A$1:$F$7,4,FALSE)*C180*D180/1000</f>
        <v>17.584</v>
      </c>
      <c r="H180" s="7">
        <f>VLOOKUP(B180,Data!$A$1:$G$7,7,FALSE)*C180</f>
        <v>32900</v>
      </c>
      <c r="I180" s="7">
        <f t="shared" si="15"/>
        <v>28</v>
      </c>
      <c r="J180" s="7"/>
    </row>
    <row r="181" spans="1:10" x14ac:dyDescent="0.3">
      <c r="A181" s="2">
        <v>45758</v>
      </c>
      <c r="B181" t="s">
        <v>9</v>
      </c>
      <c r="C181" s="3">
        <v>6</v>
      </c>
      <c r="D181" s="3">
        <v>1</v>
      </c>
      <c r="E181" s="3" t="s">
        <v>186</v>
      </c>
      <c r="F181" s="7">
        <f>VLOOKUP(Prediction!B181,Data!$A$1:$F$7,2,)*C181*D181/1000</f>
        <v>1.92</v>
      </c>
      <c r="G181" s="7">
        <f>VLOOKUP(B181,Data!$A$1:$F$7,4,FALSE)*C181*D181/1000</f>
        <v>3.7679999999999998</v>
      </c>
      <c r="H181" s="7">
        <f>VLOOKUP(B181,Data!$A$1:$G$7,7,FALSE)*C181</f>
        <v>28200</v>
      </c>
      <c r="I181" s="7">
        <f t="shared" si="15"/>
        <v>6</v>
      </c>
      <c r="J181" s="7"/>
    </row>
    <row r="182" spans="1:10" x14ac:dyDescent="0.3">
      <c r="A182" s="2">
        <v>45758</v>
      </c>
      <c r="B182" t="s">
        <v>4</v>
      </c>
      <c r="C182" s="3">
        <v>7</v>
      </c>
      <c r="D182" s="3">
        <v>2</v>
      </c>
      <c r="E182" s="3" t="s">
        <v>186</v>
      </c>
      <c r="F182" s="7">
        <f>VLOOKUP(Prediction!B182,Data!$A$1:$F$7,2,)*C182*D182/1000</f>
        <v>3.22</v>
      </c>
      <c r="G182" s="7">
        <f>VLOOKUP(B182,Data!$A$1:$F$7,4,FALSE)*C182*D182/1000</f>
        <v>9.4079999999999995</v>
      </c>
      <c r="H182" s="7">
        <f>VLOOKUP(B182,Data!$A$1:$G$7,7,FALSE)*C182</f>
        <v>35000</v>
      </c>
      <c r="I182" s="7">
        <f t="shared" si="15"/>
        <v>14</v>
      </c>
      <c r="J182" s="7"/>
    </row>
    <row r="183" spans="1:10" x14ac:dyDescent="0.3">
      <c r="A183" s="2">
        <v>45758</v>
      </c>
      <c r="B183" t="s">
        <v>9</v>
      </c>
      <c r="C183" s="3">
        <v>6.5</v>
      </c>
      <c r="D183" s="3">
        <v>1</v>
      </c>
      <c r="E183" s="3" t="s">
        <v>186</v>
      </c>
      <c r="F183" s="7">
        <f>VLOOKUP(Prediction!B183,Data!$A$1:$F$7,2,)*C183*D183/1000</f>
        <v>2.08</v>
      </c>
      <c r="G183" s="7">
        <f>VLOOKUP(B183,Data!$A$1:$F$7,4,FALSE)*C183*D183/1000</f>
        <v>4.0819999999999999</v>
      </c>
      <c r="H183" s="7">
        <f>VLOOKUP(B183,Data!$A$1:$G$7,7,FALSE)*C183</f>
        <v>30550</v>
      </c>
      <c r="I183" s="7">
        <f t="shared" si="15"/>
        <v>6.5</v>
      </c>
      <c r="J183" s="7"/>
    </row>
    <row r="184" spans="1:10" x14ac:dyDescent="0.3">
      <c r="A184" s="2">
        <v>45758</v>
      </c>
      <c r="B184" t="s">
        <v>9</v>
      </c>
      <c r="C184" s="3">
        <v>4</v>
      </c>
      <c r="D184" s="3">
        <v>1</v>
      </c>
      <c r="E184" s="3" t="s">
        <v>196</v>
      </c>
      <c r="F184" s="7">
        <f>VLOOKUP(Prediction!B184,Data!$A$1:$F$7,2,)*C184*D184/1000</f>
        <v>1.28</v>
      </c>
      <c r="G184" s="7">
        <f>VLOOKUP(B184,Data!$A$1:$F$7,4,FALSE)*C184*D184/1000</f>
        <v>2.512</v>
      </c>
      <c r="H184" s="7">
        <f>VLOOKUP(B184,Data!$A$1:$G$7,7,FALSE)*C184</f>
        <v>18800</v>
      </c>
      <c r="I184" s="7">
        <f t="shared" si="15"/>
        <v>4</v>
      </c>
      <c r="J184" s="7"/>
    </row>
    <row r="185" spans="1:10" x14ac:dyDescent="0.3">
      <c r="A185" s="2">
        <v>45759</v>
      </c>
      <c r="B185" t="s">
        <v>4</v>
      </c>
      <c r="C185" s="3">
        <v>6</v>
      </c>
      <c r="D185" s="3">
        <v>1</v>
      </c>
      <c r="E185" s="3" t="s">
        <v>218</v>
      </c>
      <c r="F185" s="7">
        <f>VLOOKUP(Prediction!B185,Data!$A$1:$F$7,2,)*C185*D185/1000</f>
        <v>1.38</v>
      </c>
      <c r="G185" s="7">
        <f>VLOOKUP(B185,Data!$A$1:$F$7,4,FALSE)*C185*D185/1000</f>
        <v>4.032</v>
      </c>
      <c r="H185" s="7">
        <f>VLOOKUP(B185,Data!$A$1:$G$7,7,FALSE)*C185</f>
        <v>30000</v>
      </c>
      <c r="I185" s="7">
        <f t="shared" si="15"/>
        <v>6</v>
      </c>
      <c r="J185" s="7"/>
    </row>
    <row r="186" spans="1:10" x14ac:dyDescent="0.3">
      <c r="A186" s="2">
        <v>45759</v>
      </c>
      <c r="B186" t="s">
        <v>4</v>
      </c>
      <c r="C186" s="3">
        <v>5.5</v>
      </c>
      <c r="D186" s="3">
        <v>1</v>
      </c>
      <c r="E186" s="3" t="s">
        <v>218</v>
      </c>
      <c r="F186" s="7">
        <f>VLOOKUP(Prediction!B186,Data!$A$1:$F$7,2,)*C186*D186/1000</f>
        <v>1.2649999999999999</v>
      </c>
      <c r="G186" s="7">
        <f>VLOOKUP(B186,Data!$A$1:$F$7,4,FALSE)*C186*D186/1000</f>
        <v>3.6960000000000002</v>
      </c>
      <c r="H186" s="7">
        <f>VLOOKUP(B186,Data!$A$1:$G$7,7,FALSE)*C186</f>
        <v>27500</v>
      </c>
      <c r="I186" s="7">
        <f t="shared" si="15"/>
        <v>5.5</v>
      </c>
      <c r="J186" s="7"/>
    </row>
    <row r="187" spans="1:10" x14ac:dyDescent="0.3">
      <c r="A187" s="2">
        <v>45759</v>
      </c>
      <c r="B187" t="s">
        <v>9</v>
      </c>
      <c r="C187" s="3">
        <v>1</v>
      </c>
      <c r="D187" s="3">
        <v>1</v>
      </c>
      <c r="E187" s="3" t="s">
        <v>196</v>
      </c>
      <c r="F187" s="7">
        <f>VLOOKUP(Prediction!B187,Data!$A$1:$F$7,2,)*C187*D187/1000</f>
        <v>0.32</v>
      </c>
      <c r="G187" s="7">
        <f>VLOOKUP(B187,Data!$A$1:$F$7,4,FALSE)*C187*D187/1000</f>
        <v>0.628</v>
      </c>
      <c r="H187" s="7">
        <f>VLOOKUP(B187,Data!$A$1:$G$7,7,FALSE)*C187</f>
        <v>4700</v>
      </c>
      <c r="I187" s="7">
        <f t="shared" si="15"/>
        <v>1</v>
      </c>
      <c r="J187" s="7"/>
    </row>
    <row r="188" spans="1:10" x14ac:dyDescent="0.3">
      <c r="A188" s="2">
        <v>45759</v>
      </c>
      <c r="B188" t="s">
        <v>7</v>
      </c>
      <c r="C188" s="3">
        <v>6</v>
      </c>
      <c r="D188" s="3">
        <v>4</v>
      </c>
      <c r="E188" s="3" t="s">
        <v>229</v>
      </c>
      <c r="F188" s="7">
        <f>VLOOKUP(Prediction!B188,Data!$A$1:$F$7,2,)*C188*D188/1000</f>
        <v>6</v>
      </c>
      <c r="G188" s="7">
        <f>VLOOKUP(B188,Data!$A$1:$F$7,4,FALSE)*C188*D188/1000</f>
        <v>19.584</v>
      </c>
      <c r="H188" s="7">
        <f>VLOOKUP(B188,Data!$A$1:$G$7,7,FALSE)*C188</f>
        <v>31200</v>
      </c>
      <c r="I188" s="7">
        <f t="shared" si="15"/>
        <v>24</v>
      </c>
      <c r="J188" s="7"/>
    </row>
    <row r="189" spans="1:10" x14ac:dyDescent="0.3">
      <c r="A189" s="2">
        <v>45759</v>
      </c>
      <c r="B189" t="s">
        <v>9</v>
      </c>
      <c r="C189" s="3">
        <v>6</v>
      </c>
      <c r="D189" s="3">
        <v>2</v>
      </c>
      <c r="E189" s="3" t="s">
        <v>200</v>
      </c>
      <c r="F189" s="7">
        <f>VLOOKUP(Prediction!B189,Data!$A$1:$F$7,2,)*C189*D189/1000</f>
        <v>3.84</v>
      </c>
      <c r="G189" s="7">
        <f>VLOOKUP(B189,Data!$A$1:$F$7,4,FALSE)*C189*D189/1000</f>
        <v>7.5359999999999996</v>
      </c>
      <c r="H189" s="7">
        <f>VLOOKUP(B189,Data!$A$1:$G$7,7,FALSE)*C189</f>
        <v>28200</v>
      </c>
      <c r="I189" s="7">
        <f t="shared" si="15"/>
        <v>12</v>
      </c>
      <c r="J189" s="7"/>
    </row>
    <row r="190" spans="1:10" x14ac:dyDescent="0.3">
      <c r="A190" s="2">
        <v>45759</v>
      </c>
      <c r="B190" t="s">
        <v>9</v>
      </c>
      <c r="C190" s="3">
        <v>7</v>
      </c>
      <c r="D190" s="3">
        <v>1</v>
      </c>
      <c r="E190" s="3" t="s">
        <v>200</v>
      </c>
      <c r="F190" s="7">
        <f>VLOOKUP(Prediction!B190,Data!$A$1:$F$7,2,)*C190*D190/1000</f>
        <v>2.2400000000000002</v>
      </c>
      <c r="G190" s="7">
        <f>VLOOKUP(B190,Data!$A$1:$F$7,4,FALSE)*C190*D190/1000</f>
        <v>4.3959999999999999</v>
      </c>
      <c r="H190" s="7">
        <f>VLOOKUP(B190,Data!$A$1:$G$7,7,FALSE)*C190</f>
        <v>32900</v>
      </c>
      <c r="I190" s="7">
        <f t="shared" si="15"/>
        <v>7</v>
      </c>
      <c r="J190" s="7"/>
    </row>
    <row r="191" spans="1:10" x14ac:dyDescent="0.3">
      <c r="A191" s="2">
        <v>45760</v>
      </c>
      <c r="B191" t="s">
        <v>7</v>
      </c>
      <c r="C191" s="3">
        <v>6.5</v>
      </c>
      <c r="D191" s="3">
        <v>1</v>
      </c>
      <c r="E191" s="3" t="s">
        <v>229</v>
      </c>
      <c r="F191" s="7">
        <f>VLOOKUP(Prediction!B191,Data!$A$1:$F$7,2,)*C191*D191/1000</f>
        <v>1.625</v>
      </c>
      <c r="G191" s="7">
        <f>VLOOKUP(B191,Data!$A$1:$F$7,4,FALSE)*C191*D191/1000</f>
        <v>5.3040000000000003</v>
      </c>
      <c r="H191" s="7">
        <f>VLOOKUP(B191,Data!$A$1:$G$7,7,FALSE)*C191</f>
        <v>33800</v>
      </c>
      <c r="I191" s="7">
        <f t="shared" si="15"/>
        <v>6.5</v>
      </c>
      <c r="J191" s="7"/>
    </row>
    <row r="192" spans="1:10" x14ac:dyDescent="0.3">
      <c r="A192" s="2">
        <v>45760</v>
      </c>
      <c r="B192" t="s">
        <v>4</v>
      </c>
      <c r="C192" s="3">
        <v>3</v>
      </c>
      <c r="D192" s="3">
        <v>1</v>
      </c>
      <c r="E192" s="3" t="s">
        <v>204</v>
      </c>
      <c r="F192" s="7">
        <f>VLOOKUP(Prediction!B192,Data!$A$1:$F$7,2,)*C192*D192/1000</f>
        <v>0.69</v>
      </c>
      <c r="G192" s="7">
        <f>VLOOKUP(B192,Data!$A$1:$F$7,4,FALSE)*C192*D192/1000</f>
        <v>2.016</v>
      </c>
      <c r="H192" s="7">
        <f>VLOOKUP(B192,Data!$A$1:$G$7,7,FALSE)*C192</f>
        <v>15000</v>
      </c>
      <c r="I192" s="7">
        <f t="shared" si="15"/>
        <v>3</v>
      </c>
      <c r="J192" s="7"/>
    </row>
    <row r="193" spans="1:10" x14ac:dyDescent="0.3">
      <c r="A193" s="2">
        <v>45761</v>
      </c>
      <c r="B193" t="s">
        <v>7</v>
      </c>
      <c r="C193" s="3">
        <v>5.5</v>
      </c>
      <c r="D193" s="3">
        <v>1</v>
      </c>
      <c r="E193" s="3" t="s">
        <v>229</v>
      </c>
      <c r="F193" s="7">
        <f>VLOOKUP(Prediction!B193,Data!$A$1:$F$7,2,)*C193*D193/1000</f>
        <v>1.375</v>
      </c>
      <c r="G193" s="7">
        <f>VLOOKUP(B193,Data!$A$1:$F$7,4,FALSE)*C193*D193/1000</f>
        <v>4.4880000000000004</v>
      </c>
      <c r="H193" s="7">
        <f>VLOOKUP(B193,Data!$A$1:$G$7,7,FALSE)*C193</f>
        <v>28600</v>
      </c>
      <c r="I193" s="7">
        <f t="shared" si="15"/>
        <v>5.5</v>
      </c>
      <c r="J193" s="7"/>
    </row>
    <row r="194" spans="1:10" x14ac:dyDescent="0.3">
      <c r="A194" s="2">
        <v>45761</v>
      </c>
      <c r="B194" t="s">
        <v>4</v>
      </c>
      <c r="C194" s="3">
        <v>6.5</v>
      </c>
      <c r="D194" s="3">
        <v>1</v>
      </c>
      <c r="E194" s="3" t="s">
        <v>175</v>
      </c>
      <c r="F194" s="7">
        <f>VLOOKUP(Prediction!B194,Data!$A$1:$F$7,2,)*C194*D194/1000</f>
        <v>1.4950000000000001</v>
      </c>
      <c r="G194" s="7">
        <f>VLOOKUP(B194,Data!$A$1:$F$7,4,FALSE)*C194*D194/1000</f>
        <v>4.3680000000000003</v>
      </c>
      <c r="H194" s="7">
        <f>VLOOKUP(B194,Data!$A$1:$G$7,7,FALSE)*C194</f>
        <v>32500</v>
      </c>
      <c r="I194" s="7">
        <f t="shared" si="15"/>
        <v>6.5</v>
      </c>
      <c r="J194" s="7"/>
    </row>
    <row r="195" spans="1:10" x14ac:dyDescent="0.3">
      <c r="A195" s="2">
        <v>45761</v>
      </c>
      <c r="B195" t="s">
        <v>4</v>
      </c>
      <c r="C195" s="3">
        <v>6</v>
      </c>
      <c r="D195" s="3">
        <v>1</v>
      </c>
      <c r="E195" s="3" t="s">
        <v>175</v>
      </c>
      <c r="F195" s="7">
        <f>VLOOKUP(Prediction!B195,Data!$A$1:$F$7,2,)*C195*D195/1000</f>
        <v>1.38</v>
      </c>
      <c r="G195" s="7">
        <f>VLOOKUP(B195,Data!$A$1:$F$7,4,FALSE)*C195*D195/1000</f>
        <v>4.032</v>
      </c>
      <c r="H195" s="7">
        <f>VLOOKUP(B195,Data!$A$1:$G$7,7,FALSE)*C195</f>
        <v>30000</v>
      </c>
      <c r="I195" s="7">
        <f t="shared" ref="I195:I258" si="16">C195*D195</f>
        <v>6</v>
      </c>
      <c r="J195" s="7"/>
    </row>
    <row r="196" spans="1:10" x14ac:dyDescent="0.3">
      <c r="A196" s="2">
        <v>45761</v>
      </c>
      <c r="B196" t="s">
        <v>9</v>
      </c>
      <c r="C196" s="3">
        <v>3</v>
      </c>
      <c r="D196" s="3">
        <v>1</v>
      </c>
      <c r="E196" s="3" t="s">
        <v>234</v>
      </c>
      <c r="F196" s="7">
        <f>VLOOKUP(Prediction!B196,Data!$A$1:$F$7,2,)*C196*D196/1000</f>
        <v>0.96</v>
      </c>
      <c r="G196" s="7">
        <f>VLOOKUP(B196,Data!$A$1:$F$7,4,FALSE)*C196*D196/1000</f>
        <v>1.8839999999999999</v>
      </c>
      <c r="H196" s="7">
        <f>VLOOKUP(B196,Data!$A$1:$G$7,7,FALSE)*C196</f>
        <v>14100</v>
      </c>
      <c r="I196" s="7">
        <f t="shared" si="16"/>
        <v>3</v>
      </c>
      <c r="J196" s="7"/>
    </row>
    <row r="197" spans="1:10" x14ac:dyDescent="0.3">
      <c r="A197" s="2">
        <v>45761</v>
      </c>
      <c r="B197" t="s">
        <v>13</v>
      </c>
      <c r="C197" s="3">
        <v>6</v>
      </c>
      <c r="D197" s="3">
        <v>1</v>
      </c>
      <c r="E197" s="3" t="s">
        <v>232</v>
      </c>
      <c r="F197" s="7">
        <f>VLOOKUP(Prediction!B197,Data!$A$1:$F$7,2,)*C197*D197/1000</f>
        <v>1.56</v>
      </c>
      <c r="G197" s="7">
        <f>VLOOKUP(B197,Data!$A$1:$F$7,4,FALSE)*C197*D197/1000</f>
        <v>4.3019999999999996</v>
      </c>
      <c r="H197" s="7">
        <f>VLOOKUP(B197,Data!$A$1:$G$7,7,FALSE)*C197</f>
        <v>25800</v>
      </c>
      <c r="I197" s="7">
        <f t="shared" si="16"/>
        <v>6</v>
      </c>
      <c r="J197" s="7"/>
    </row>
    <row r="198" spans="1:10" x14ac:dyDescent="0.3">
      <c r="A198" s="2">
        <v>45761</v>
      </c>
      <c r="B198" t="s">
        <v>4</v>
      </c>
      <c r="C198" s="3">
        <v>7</v>
      </c>
      <c r="D198" s="3">
        <v>3</v>
      </c>
      <c r="E198" s="3" t="s">
        <v>246</v>
      </c>
      <c r="F198" s="7">
        <f>VLOOKUP(Prediction!B198,Data!$A$1:$F$7,2,)*C198*D198/1000</f>
        <v>4.83</v>
      </c>
      <c r="G198" s="7">
        <f>VLOOKUP(B198,Data!$A$1:$F$7,4,FALSE)*C198*D198/1000</f>
        <v>14.112</v>
      </c>
      <c r="H198" s="7">
        <f>VLOOKUP(B198,Data!$A$1:$G$7,7,FALSE)*C198</f>
        <v>35000</v>
      </c>
      <c r="I198" s="7">
        <f t="shared" si="16"/>
        <v>21</v>
      </c>
      <c r="J198" s="7"/>
    </row>
    <row r="199" spans="1:10" x14ac:dyDescent="0.3">
      <c r="A199" s="2">
        <v>45761</v>
      </c>
      <c r="B199" t="s">
        <v>9</v>
      </c>
      <c r="C199" s="3">
        <v>6</v>
      </c>
      <c r="D199" s="3">
        <v>1</v>
      </c>
      <c r="E199" s="3" t="s">
        <v>196</v>
      </c>
      <c r="F199" s="7">
        <f>VLOOKUP(Prediction!B199,Data!$A$1:$F$7,2,)*C199*D199/1000</f>
        <v>1.92</v>
      </c>
      <c r="G199" s="7">
        <f>VLOOKUP(B199,Data!$A$1:$F$7,4,FALSE)*C199*D199/1000</f>
        <v>3.7679999999999998</v>
      </c>
      <c r="H199" s="7">
        <f>VLOOKUP(B199,Data!$A$1:$G$7,7,FALSE)*C199</f>
        <v>28200</v>
      </c>
      <c r="I199" s="7">
        <f t="shared" si="16"/>
        <v>6</v>
      </c>
      <c r="J199" s="7"/>
    </row>
    <row r="200" spans="1:10" x14ac:dyDescent="0.3">
      <c r="A200" s="2">
        <v>45761</v>
      </c>
      <c r="B200" t="s">
        <v>4</v>
      </c>
      <c r="C200" s="3">
        <v>5</v>
      </c>
      <c r="D200" s="3">
        <v>1</v>
      </c>
      <c r="E200" s="3" t="s">
        <v>246</v>
      </c>
      <c r="F200" s="7">
        <f>VLOOKUP(Prediction!B200,Data!$A$1:$F$7,2,)*C200*D200/1000</f>
        <v>1.1499999999999999</v>
      </c>
      <c r="G200" s="7">
        <f>VLOOKUP(B200,Data!$A$1:$F$7,4,FALSE)*C200*D200/1000</f>
        <v>3.36</v>
      </c>
      <c r="H200" s="7">
        <f>VLOOKUP(B200,Data!$A$1:$G$7,7,FALSE)*C200</f>
        <v>25000</v>
      </c>
      <c r="I200" s="7">
        <f t="shared" si="16"/>
        <v>5</v>
      </c>
      <c r="J200" s="7"/>
    </row>
    <row r="201" spans="1:10" x14ac:dyDescent="0.3">
      <c r="A201" s="2">
        <v>45761</v>
      </c>
      <c r="B201" t="s">
        <v>17</v>
      </c>
      <c r="C201" s="3">
        <v>4</v>
      </c>
      <c r="D201" s="3">
        <v>1</v>
      </c>
      <c r="E201" s="3" t="s">
        <v>229</v>
      </c>
      <c r="F201" s="7">
        <f>VLOOKUP(Prediction!B201,Data!$A$1:$F$7,2,)*C201*D201/1000</f>
        <v>0.84</v>
      </c>
      <c r="G201" s="7">
        <f>VLOOKUP(B201,Data!$A$1:$F$7,4,FALSE)*C201*D201/1000</f>
        <v>3.0920000000000001</v>
      </c>
      <c r="H201" s="7">
        <f>VLOOKUP(B201,Data!$A$1:$G$7,7,FALSE)*C201</f>
        <v>16000</v>
      </c>
      <c r="I201" s="7">
        <f t="shared" si="16"/>
        <v>4</v>
      </c>
      <c r="J201" s="7"/>
    </row>
    <row r="202" spans="1:10" x14ac:dyDescent="0.3">
      <c r="A202" s="2">
        <v>45761</v>
      </c>
      <c r="B202" t="s">
        <v>4</v>
      </c>
      <c r="C202" s="3">
        <v>7</v>
      </c>
      <c r="D202" s="3">
        <v>5</v>
      </c>
      <c r="E202" s="3" t="s">
        <v>249</v>
      </c>
      <c r="F202" s="7">
        <f>VLOOKUP(Prediction!B202,Data!$A$1:$F$7,2,)*C202*D202/1000</f>
        <v>8.0500000000000007</v>
      </c>
      <c r="G202" s="7">
        <f>VLOOKUP(B202,Data!$A$1:$F$7,4,FALSE)*C202*D202/1000</f>
        <v>23.52</v>
      </c>
      <c r="H202" s="7">
        <f>VLOOKUP(B202,Data!$A$1:$G$7,7,FALSE)*C202</f>
        <v>35000</v>
      </c>
      <c r="I202" s="7">
        <f t="shared" si="16"/>
        <v>35</v>
      </c>
      <c r="J202" s="7"/>
    </row>
    <row r="203" spans="1:10" x14ac:dyDescent="0.3">
      <c r="A203" s="2">
        <v>45761</v>
      </c>
      <c r="B203" t="s">
        <v>4</v>
      </c>
      <c r="C203" s="3">
        <v>6</v>
      </c>
      <c r="D203" s="3">
        <v>2</v>
      </c>
      <c r="E203" s="3" t="s">
        <v>249</v>
      </c>
      <c r="F203" s="7">
        <f>VLOOKUP(Prediction!B203,Data!$A$1:$F$7,2,)*C203*D203/1000</f>
        <v>2.76</v>
      </c>
      <c r="G203" s="7">
        <f>VLOOKUP(B203,Data!$A$1:$F$7,4,FALSE)*C203*D203/1000</f>
        <v>8.0640000000000001</v>
      </c>
      <c r="H203" s="7">
        <f>VLOOKUP(B203,Data!$A$1:$G$7,7,FALSE)*C203</f>
        <v>30000</v>
      </c>
      <c r="I203" s="7">
        <f t="shared" si="16"/>
        <v>12</v>
      </c>
      <c r="J203" s="7"/>
    </row>
    <row r="204" spans="1:10" x14ac:dyDescent="0.3">
      <c r="A204" s="2">
        <v>45761</v>
      </c>
      <c r="B204" t="s">
        <v>9</v>
      </c>
      <c r="C204" s="3">
        <v>4</v>
      </c>
      <c r="D204" s="3">
        <v>1</v>
      </c>
      <c r="E204" s="3" t="s">
        <v>196</v>
      </c>
      <c r="F204" s="7">
        <f>VLOOKUP(Prediction!B204,Data!$A$1:$F$7,2,)*C204*D204/1000</f>
        <v>1.28</v>
      </c>
      <c r="G204" s="7">
        <f>VLOOKUP(B204,Data!$A$1:$F$7,4,FALSE)*C204*D204/1000</f>
        <v>2.512</v>
      </c>
      <c r="H204" s="7">
        <f>VLOOKUP(B204,Data!$A$1:$G$7,7,FALSE)*C204</f>
        <v>18800</v>
      </c>
      <c r="I204" s="7">
        <f t="shared" si="16"/>
        <v>4</v>
      </c>
      <c r="J204" s="7"/>
    </row>
    <row r="205" spans="1:10" x14ac:dyDescent="0.3">
      <c r="A205" s="2">
        <v>45764</v>
      </c>
      <c r="B205" t="s">
        <v>9</v>
      </c>
      <c r="C205" s="3">
        <v>8</v>
      </c>
      <c r="D205" s="3">
        <v>2</v>
      </c>
      <c r="E205" s="3" t="s">
        <v>184</v>
      </c>
      <c r="F205" s="7">
        <f>VLOOKUP(Prediction!B205,Data!$A$1:$F$7,2,)*C205*D205/1000</f>
        <v>5.12</v>
      </c>
      <c r="G205" s="7">
        <f>VLOOKUP(B205,Data!$A$1:$F$7,4,FALSE)*C205*D205/1000</f>
        <v>10.048</v>
      </c>
      <c r="H205" s="7">
        <f>VLOOKUP(B205,Data!$A$1:$G$7,7,FALSE)*C205</f>
        <v>37600</v>
      </c>
      <c r="I205" s="7">
        <f t="shared" si="16"/>
        <v>16</v>
      </c>
      <c r="J205" s="7"/>
    </row>
    <row r="206" spans="1:10" x14ac:dyDescent="0.3">
      <c r="A206" s="2">
        <v>45764</v>
      </c>
      <c r="B206" t="s">
        <v>9</v>
      </c>
      <c r="C206" s="3">
        <v>4.5</v>
      </c>
      <c r="D206" s="3">
        <v>1</v>
      </c>
      <c r="E206" s="3" t="s">
        <v>199</v>
      </c>
      <c r="F206" s="7">
        <f>VLOOKUP(Prediction!B206,Data!$A$1:$F$7,2,)*C206*D206/1000</f>
        <v>1.44</v>
      </c>
      <c r="G206" s="7">
        <f>VLOOKUP(B206,Data!$A$1:$F$7,4,FALSE)*C206*D206/1000</f>
        <v>2.8260000000000001</v>
      </c>
      <c r="H206" s="7">
        <f>VLOOKUP(B206,Data!$A$1:$G$7,7,FALSE)*C206</f>
        <v>21150</v>
      </c>
      <c r="I206" s="7">
        <f t="shared" si="16"/>
        <v>4.5</v>
      </c>
      <c r="J206" s="7"/>
    </row>
    <row r="207" spans="1:10" x14ac:dyDescent="0.3">
      <c r="A207" s="2">
        <v>45765</v>
      </c>
      <c r="B207" t="s">
        <v>7</v>
      </c>
      <c r="C207" s="3">
        <v>7</v>
      </c>
      <c r="D207" s="3">
        <v>2</v>
      </c>
      <c r="E207" s="3" t="s">
        <v>229</v>
      </c>
      <c r="F207" s="7">
        <f>VLOOKUP(Prediction!B207,Data!$A$1:$F$7,2,)*C207*D207/1000</f>
        <v>3.5</v>
      </c>
      <c r="G207" s="7">
        <f>VLOOKUP(B207,Data!$A$1:$F$7,4,FALSE)*C207*D207/1000</f>
        <v>11.423999999999999</v>
      </c>
      <c r="H207" s="7">
        <f>VLOOKUP(B207,Data!$A$1:$G$7,7,FALSE)*C207</f>
        <v>36400</v>
      </c>
      <c r="I207" s="7">
        <f t="shared" si="16"/>
        <v>14</v>
      </c>
      <c r="J207" s="7"/>
    </row>
    <row r="208" spans="1:10" x14ac:dyDescent="0.3">
      <c r="A208" s="2">
        <v>45765</v>
      </c>
      <c r="B208" t="s">
        <v>7</v>
      </c>
      <c r="C208" s="3">
        <v>6</v>
      </c>
      <c r="D208" s="3">
        <v>1</v>
      </c>
      <c r="E208" s="3" t="s">
        <v>229</v>
      </c>
      <c r="F208" s="7">
        <f>VLOOKUP(Prediction!B208,Data!$A$1:$F$7,2,)*C208*D208/1000</f>
        <v>1.5</v>
      </c>
      <c r="G208" s="7">
        <f>VLOOKUP(B208,Data!$A$1:$F$7,4,FALSE)*C208*D208/1000</f>
        <v>4.8959999999999999</v>
      </c>
      <c r="H208" s="7">
        <f>VLOOKUP(B208,Data!$A$1:$G$7,7,FALSE)*C208</f>
        <v>31200</v>
      </c>
      <c r="I208" s="7">
        <f t="shared" si="16"/>
        <v>6</v>
      </c>
      <c r="J208" s="7"/>
    </row>
    <row r="209" spans="1:10" x14ac:dyDescent="0.3">
      <c r="A209" s="2">
        <v>45766</v>
      </c>
      <c r="B209" t="s">
        <v>4</v>
      </c>
      <c r="C209" s="3">
        <v>7</v>
      </c>
      <c r="D209" s="3">
        <v>11</v>
      </c>
      <c r="E209" s="3" t="s">
        <v>213</v>
      </c>
      <c r="F209" s="7">
        <f>VLOOKUP(Prediction!B209,Data!$A$1:$F$7,2,)*C209*D209/1000</f>
        <v>17.71</v>
      </c>
      <c r="G209" s="7">
        <f>VLOOKUP(B209,Data!$A$1:$F$7,4,FALSE)*C209*D209/1000</f>
        <v>51.744</v>
      </c>
      <c r="H209" s="7">
        <f>VLOOKUP(B209,Data!$A$1:$G$7,7,FALSE)*C209</f>
        <v>35000</v>
      </c>
      <c r="I209" s="7">
        <f t="shared" si="16"/>
        <v>77</v>
      </c>
      <c r="J209" s="7"/>
    </row>
    <row r="210" spans="1:10" x14ac:dyDescent="0.3">
      <c r="A210" s="2">
        <v>45766</v>
      </c>
      <c r="B210" t="s">
        <v>7</v>
      </c>
      <c r="C210" s="3">
        <v>5.5</v>
      </c>
      <c r="D210" s="3">
        <v>1</v>
      </c>
      <c r="E210" s="3" t="s">
        <v>229</v>
      </c>
      <c r="F210" s="7">
        <f>VLOOKUP(Prediction!B210,Data!$A$1:$F$7,2,)*C210*D210/1000</f>
        <v>1.375</v>
      </c>
      <c r="G210" s="7">
        <f>VLOOKUP(B210,Data!$A$1:$F$7,4,FALSE)*C210*D210/1000</f>
        <v>4.4880000000000004</v>
      </c>
      <c r="H210" s="7">
        <f>VLOOKUP(B210,Data!$A$1:$G$7,7,FALSE)*C210</f>
        <v>28600</v>
      </c>
      <c r="I210" s="7">
        <f t="shared" si="16"/>
        <v>5.5</v>
      </c>
      <c r="J210" s="7"/>
    </row>
    <row r="211" spans="1:10" x14ac:dyDescent="0.3">
      <c r="A211" s="2">
        <v>45766</v>
      </c>
      <c r="B211" t="s">
        <v>7</v>
      </c>
      <c r="C211" s="3">
        <v>7</v>
      </c>
      <c r="D211" s="3">
        <v>3</v>
      </c>
      <c r="E211" s="3" t="s">
        <v>230</v>
      </c>
      <c r="F211" s="7">
        <f>VLOOKUP(Prediction!B211,Data!$A$1:$F$7,2,)*C211*D211/1000</f>
        <v>5.25</v>
      </c>
      <c r="G211" s="7">
        <f>VLOOKUP(B211,Data!$A$1:$F$7,4,FALSE)*C211*D211/1000</f>
        <v>17.135999999999999</v>
      </c>
      <c r="H211" s="7">
        <f>VLOOKUP(B211,Data!$A$1:$G$7,7,FALSE)*C211</f>
        <v>36400</v>
      </c>
      <c r="I211" s="7">
        <f t="shared" si="16"/>
        <v>21</v>
      </c>
      <c r="J211" s="7"/>
    </row>
    <row r="212" spans="1:10" x14ac:dyDescent="0.3">
      <c r="A212" s="2">
        <v>45766</v>
      </c>
      <c r="B212" t="s">
        <v>7</v>
      </c>
      <c r="C212" s="3">
        <v>7</v>
      </c>
      <c r="D212" s="3">
        <v>3</v>
      </c>
      <c r="E212" s="3" t="s">
        <v>232</v>
      </c>
      <c r="F212" s="7">
        <f>VLOOKUP(Prediction!B212,Data!$A$1:$F$7,2,)*C212*D212/1000</f>
        <v>5.25</v>
      </c>
      <c r="G212" s="7">
        <f>VLOOKUP(B212,Data!$A$1:$F$7,4,FALSE)*C212*D212/1000</f>
        <v>17.135999999999999</v>
      </c>
      <c r="H212" s="7">
        <f>VLOOKUP(B212,Data!$A$1:$G$7,7,FALSE)*C212</f>
        <v>36400</v>
      </c>
      <c r="I212" s="7">
        <f t="shared" si="16"/>
        <v>21</v>
      </c>
      <c r="J212" s="7"/>
    </row>
    <row r="213" spans="1:10" x14ac:dyDescent="0.3">
      <c r="A213" s="2">
        <v>45767</v>
      </c>
      <c r="B213" t="s">
        <v>4</v>
      </c>
      <c r="C213" s="3">
        <v>5.5</v>
      </c>
      <c r="D213" s="3">
        <v>2</v>
      </c>
      <c r="E213" s="3" t="s">
        <v>247</v>
      </c>
      <c r="F213" s="7">
        <f>VLOOKUP(Prediction!B213,Data!$A$1:$F$7,2,)*C213*D213/1000</f>
        <v>2.5299999999999998</v>
      </c>
      <c r="G213" s="7">
        <f>VLOOKUP(B213,Data!$A$1:$F$7,4,FALSE)*C213*D213/1000</f>
        <v>7.3920000000000003</v>
      </c>
      <c r="H213" s="7">
        <f>VLOOKUP(B213,Data!$A$1:$G$7,7,FALSE)*C213</f>
        <v>27500</v>
      </c>
      <c r="I213" s="7">
        <f t="shared" si="16"/>
        <v>11</v>
      </c>
      <c r="J213" s="7"/>
    </row>
    <row r="214" spans="1:10" x14ac:dyDescent="0.3">
      <c r="A214" s="2">
        <v>45767</v>
      </c>
      <c r="B214" t="s">
        <v>7</v>
      </c>
      <c r="C214" s="3">
        <v>4.5</v>
      </c>
      <c r="D214" s="3">
        <v>1</v>
      </c>
      <c r="E214" s="3" t="s">
        <v>229</v>
      </c>
      <c r="F214" s="7">
        <f>VLOOKUP(Prediction!B214,Data!$A$1:$F$7,2,)*C214*D214/1000</f>
        <v>1.125</v>
      </c>
      <c r="G214" s="7">
        <f>VLOOKUP(B214,Data!$A$1:$F$7,4,FALSE)*C214*D214/1000</f>
        <v>3.6720000000000002</v>
      </c>
      <c r="H214" s="7">
        <f>VLOOKUP(B214,Data!$A$1:$G$7,7,FALSE)*C214</f>
        <v>23400</v>
      </c>
      <c r="I214" s="7">
        <f t="shared" si="16"/>
        <v>4.5</v>
      </c>
      <c r="J214" s="7"/>
    </row>
    <row r="215" spans="1:10" x14ac:dyDescent="0.3">
      <c r="A215" s="2">
        <v>45767</v>
      </c>
      <c r="B215" t="s">
        <v>7</v>
      </c>
      <c r="C215" s="3">
        <v>3</v>
      </c>
      <c r="D215" s="3">
        <v>1</v>
      </c>
      <c r="E215" s="3" t="s">
        <v>229</v>
      </c>
      <c r="F215" s="7">
        <f>VLOOKUP(Prediction!B215,Data!$A$1:$F$7,2,)*C215*D215/1000</f>
        <v>0.75</v>
      </c>
      <c r="G215" s="7">
        <f>VLOOKUP(B215,Data!$A$1:$F$7,4,FALSE)*C215*D215/1000</f>
        <v>2.448</v>
      </c>
      <c r="H215" s="7">
        <f>VLOOKUP(B215,Data!$A$1:$G$7,7,FALSE)*C215</f>
        <v>15600</v>
      </c>
      <c r="I215" s="7">
        <f t="shared" si="16"/>
        <v>3</v>
      </c>
      <c r="J215" s="7"/>
    </row>
    <row r="216" spans="1:10" x14ac:dyDescent="0.3">
      <c r="A216" s="2">
        <v>45767</v>
      </c>
      <c r="B216" t="s">
        <v>7</v>
      </c>
      <c r="C216" s="3">
        <v>5</v>
      </c>
      <c r="D216" s="3">
        <v>2</v>
      </c>
      <c r="E216" s="3" t="s">
        <v>232</v>
      </c>
      <c r="F216" s="7">
        <f>VLOOKUP(Prediction!B216,Data!$A$1:$F$7,2,)*C216*D216/1000</f>
        <v>2.5</v>
      </c>
      <c r="G216" s="7">
        <f>VLOOKUP(B216,Data!$A$1:$F$7,4,FALSE)*C216*D216/1000</f>
        <v>8.16</v>
      </c>
      <c r="H216" s="7">
        <f>VLOOKUP(B216,Data!$A$1:$G$7,7,FALSE)*C216</f>
        <v>26000</v>
      </c>
      <c r="I216" s="7">
        <f t="shared" si="16"/>
        <v>10</v>
      </c>
      <c r="J216" s="7"/>
    </row>
    <row r="217" spans="1:10" x14ac:dyDescent="0.3">
      <c r="A217" s="2">
        <v>45767</v>
      </c>
      <c r="B217" t="s">
        <v>17</v>
      </c>
      <c r="C217" s="3">
        <v>3</v>
      </c>
      <c r="D217" s="3">
        <v>1</v>
      </c>
      <c r="E217" s="3" t="s">
        <v>232</v>
      </c>
      <c r="F217" s="7">
        <f>VLOOKUP(Prediction!B217,Data!$A$1:$F$7,2,)*C217*D217/1000</f>
        <v>0.63</v>
      </c>
      <c r="G217" s="7">
        <f>VLOOKUP(B217,Data!$A$1:$F$7,4,FALSE)*C217*D217/1000</f>
        <v>2.319</v>
      </c>
      <c r="H217" s="7">
        <f>VLOOKUP(B217,Data!$A$1:$G$7,7,FALSE)*C217</f>
        <v>12000</v>
      </c>
      <c r="I217" s="7">
        <f t="shared" si="16"/>
        <v>3</v>
      </c>
      <c r="J217" s="7"/>
    </row>
    <row r="218" spans="1:10" x14ac:dyDescent="0.3">
      <c r="A218" s="2">
        <v>45767</v>
      </c>
      <c r="B218" t="s">
        <v>4</v>
      </c>
      <c r="C218" s="3">
        <v>7</v>
      </c>
      <c r="D218" s="3">
        <v>2</v>
      </c>
      <c r="E218" s="3" t="s">
        <v>217</v>
      </c>
      <c r="F218" s="7">
        <f>VLOOKUP(Prediction!B218,Data!$A$1:$F$7,2,)*C218*D218/1000</f>
        <v>3.22</v>
      </c>
      <c r="G218" s="7">
        <f>VLOOKUP(B218,Data!$A$1:$F$7,4,FALSE)*C218*D218/1000</f>
        <v>9.4079999999999995</v>
      </c>
      <c r="H218" s="7">
        <f>VLOOKUP(B218,Data!$A$1:$G$7,7,FALSE)*C218</f>
        <v>35000</v>
      </c>
      <c r="I218" s="7">
        <f t="shared" si="16"/>
        <v>14</v>
      </c>
      <c r="J218" s="7"/>
    </row>
    <row r="219" spans="1:10" x14ac:dyDescent="0.3">
      <c r="A219" s="2">
        <v>45769</v>
      </c>
      <c r="B219" t="s">
        <v>4</v>
      </c>
      <c r="C219" s="3">
        <v>7</v>
      </c>
      <c r="D219" s="3">
        <v>4</v>
      </c>
      <c r="E219" s="3" t="s">
        <v>233</v>
      </c>
      <c r="F219" s="7">
        <f>VLOOKUP(Prediction!B219,Data!$A$1:$F$7,2,)*C219*D219/1000</f>
        <v>6.44</v>
      </c>
      <c r="G219" s="7">
        <f>VLOOKUP(B219,Data!$A$1:$F$7,4,FALSE)*C219*D219/1000</f>
        <v>18.815999999999999</v>
      </c>
      <c r="H219" s="7">
        <f>VLOOKUP(B219,Data!$A$1:$G$7,7,FALSE)*C219</f>
        <v>35000</v>
      </c>
      <c r="I219" s="7">
        <f t="shared" si="16"/>
        <v>28</v>
      </c>
      <c r="J219" s="7"/>
    </row>
    <row r="220" spans="1:10" x14ac:dyDescent="0.3">
      <c r="A220" s="2">
        <v>45769</v>
      </c>
      <c r="B220" t="s">
        <v>4</v>
      </c>
      <c r="C220" s="3">
        <v>7</v>
      </c>
      <c r="D220" s="3">
        <v>1</v>
      </c>
      <c r="E220" s="3" t="s">
        <v>233</v>
      </c>
      <c r="F220" s="7">
        <f>VLOOKUP(Prediction!B220,Data!$A$1:$F$7,2,)*C220*D220/1000</f>
        <v>1.61</v>
      </c>
      <c r="G220" s="7">
        <f>VLOOKUP(B220,Data!$A$1:$F$7,4,FALSE)*C220*D220/1000</f>
        <v>4.7039999999999997</v>
      </c>
      <c r="H220" s="7">
        <f>VLOOKUP(B220,Data!$A$1:$G$7,7,FALSE)*C220</f>
        <v>35000</v>
      </c>
      <c r="I220" s="7">
        <f t="shared" si="16"/>
        <v>7</v>
      </c>
      <c r="J220" s="7"/>
    </row>
    <row r="221" spans="1:10" x14ac:dyDescent="0.3">
      <c r="A221" s="2">
        <v>45770</v>
      </c>
      <c r="B221" t="s">
        <v>4</v>
      </c>
      <c r="C221" s="3">
        <v>5</v>
      </c>
      <c r="D221" s="3">
        <v>1</v>
      </c>
      <c r="E221" s="3" t="s">
        <v>251</v>
      </c>
      <c r="F221" s="7">
        <f>VLOOKUP(Prediction!B221,Data!$A$1:$F$7,2,)*C221*D221/1000</f>
        <v>1.1499999999999999</v>
      </c>
      <c r="G221" s="7">
        <f>VLOOKUP(B221,Data!$A$1:$F$7,4,FALSE)*C221*D221/1000</f>
        <v>3.36</v>
      </c>
      <c r="H221" s="7">
        <f>VLOOKUP(B221,Data!$A$1:$G$7,7,FALSE)*C221</f>
        <v>25000</v>
      </c>
      <c r="I221" s="7">
        <f t="shared" si="16"/>
        <v>5</v>
      </c>
      <c r="J221" s="7"/>
    </row>
    <row r="222" spans="1:10" x14ac:dyDescent="0.3">
      <c r="A222" s="2">
        <v>45770</v>
      </c>
      <c r="B222" t="s">
        <v>7</v>
      </c>
      <c r="C222" s="3">
        <v>6</v>
      </c>
      <c r="D222" s="3">
        <v>2</v>
      </c>
      <c r="E222" s="3" t="s">
        <v>229</v>
      </c>
      <c r="F222" s="7">
        <f>VLOOKUP(Prediction!B222,Data!$A$1:$F$7,2,)*C222*D222/1000</f>
        <v>3</v>
      </c>
      <c r="G222" s="7">
        <f>VLOOKUP(B222,Data!$A$1:$F$7,4,FALSE)*C222*D222/1000</f>
        <v>9.7919999999999998</v>
      </c>
      <c r="H222" s="7">
        <f>VLOOKUP(B222,Data!$A$1:$G$7,7,FALSE)*C222</f>
        <v>31200</v>
      </c>
      <c r="I222" s="7">
        <f t="shared" si="16"/>
        <v>12</v>
      </c>
      <c r="J222" s="7"/>
    </row>
    <row r="223" spans="1:10" x14ac:dyDescent="0.3">
      <c r="A223" s="2">
        <v>45770</v>
      </c>
      <c r="B223" t="s">
        <v>7</v>
      </c>
      <c r="C223" s="3">
        <v>5</v>
      </c>
      <c r="D223" s="3">
        <v>1</v>
      </c>
      <c r="E223" s="3" t="s">
        <v>229</v>
      </c>
      <c r="F223" s="7">
        <f>VLOOKUP(Prediction!B223,Data!$A$1:$F$7,2,)*C223*D223/1000</f>
        <v>1.25</v>
      </c>
      <c r="G223" s="7">
        <f>VLOOKUP(B223,Data!$A$1:$F$7,4,FALSE)*C223*D223/1000</f>
        <v>4.08</v>
      </c>
      <c r="H223" s="7">
        <f>VLOOKUP(B223,Data!$A$1:$G$7,7,FALSE)*C223</f>
        <v>26000</v>
      </c>
      <c r="I223" s="7">
        <f t="shared" si="16"/>
        <v>5</v>
      </c>
      <c r="J223" s="7"/>
    </row>
    <row r="224" spans="1:10" x14ac:dyDescent="0.3">
      <c r="A224" s="2">
        <v>45770</v>
      </c>
      <c r="B224" t="s">
        <v>13</v>
      </c>
      <c r="C224" s="3">
        <v>5.5</v>
      </c>
      <c r="D224" s="3">
        <v>2</v>
      </c>
      <c r="E224" s="3" t="s">
        <v>232</v>
      </c>
      <c r="F224" s="7">
        <f>VLOOKUP(Prediction!B224,Data!$A$1:$F$7,2,)*C224*D224/1000</f>
        <v>2.86</v>
      </c>
      <c r="G224" s="7">
        <f>VLOOKUP(B224,Data!$A$1:$F$7,4,FALSE)*C224*D224/1000</f>
        <v>7.8869999999999996</v>
      </c>
      <c r="H224" s="7">
        <f>VLOOKUP(B224,Data!$A$1:$G$7,7,FALSE)*C224</f>
        <v>23650</v>
      </c>
      <c r="I224" s="7">
        <f t="shared" si="16"/>
        <v>11</v>
      </c>
      <c r="J224" s="7"/>
    </row>
    <row r="225" spans="1:10" x14ac:dyDescent="0.3">
      <c r="A225" s="2">
        <v>45770</v>
      </c>
      <c r="B225" t="s">
        <v>9</v>
      </c>
      <c r="C225" s="3">
        <v>4</v>
      </c>
      <c r="D225" s="3">
        <v>1</v>
      </c>
      <c r="E225" s="3" t="s">
        <v>232</v>
      </c>
      <c r="F225" s="7">
        <f>VLOOKUP(Prediction!B225,Data!$A$1:$F$7,2,)*C225*D225/1000</f>
        <v>1.28</v>
      </c>
      <c r="G225" s="7">
        <f>VLOOKUP(B225,Data!$A$1:$F$7,4,FALSE)*C225*D225/1000</f>
        <v>2.512</v>
      </c>
      <c r="H225" s="7">
        <f>VLOOKUP(B225,Data!$A$1:$G$7,7,FALSE)*C225</f>
        <v>18800</v>
      </c>
      <c r="I225" s="7">
        <f t="shared" si="16"/>
        <v>4</v>
      </c>
      <c r="J225" s="7"/>
    </row>
    <row r="226" spans="1:10" x14ac:dyDescent="0.3">
      <c r="A226" s="2">
        <v>45771</v>
      </c>
      <c r="B226" t="s">
        <v>17</v>
      </c>
      <c r="C226" s="3">
        <v>7</v>
      </c>
      <c r="D226" s="3">
        <v>1</v>
      </c>
      <c r="E226" s="3" t="s">
        <v>232</v>
      </c>
      <c r="F226" s="7">
        <f>VLOOKUP(Prediction!B226,Data!$A$1:$F$7,2,)*C226*D226/1000</f>
        <v>1.47</v>
      </c>
      <c r="G226" s="7">
        <f>VLOOKUP(B226,Data!$A$1:$F$7,4,FALSE)*C226*D226/1000</f>
        <v>5.4109999999999996</v>
      </c>
      <c r="H226" s="7">
        <f>VLOOKUP(B226,Data!$A$1:$G$7,7,FALSE)*C226</f>
        <v>28000</v>
      </c>
      <c r="I226" s="7">
        <f t="shared" si="16"/>
        <v>7</v>
      </c>
      <c r="J226" s="7"/>
    </row>
    <row r="227" spans="1:10" x14ac:dyDescent="0.3">
      <c r="A227" s="2">
        <v>45771</v>
      </c>
      <c r="B227" t="s">
        <v>7</v>
      </c>
      <c r="C227" s="3">
        <v>7</v>
      </c>
      <c r="D227" s="3">
        <v>2</v>
      </c>
      <c r="E227" s="3" t="s">
        <v>232</v>
      </c>
      <c r="F227" s="7">
        <f>VLOOKUP(Prediction!B227,Data!$A$1:$F$7,2,)*C227*D227/1000</f>
        <v>3.5</v>
      </c>
      <c r="G227" s="7">
        <f>VLOOKUP(B227,Data!$A$1:$F$7,4,FALSE)*C227*D227/1000</f>
        <v>11.423999999999999</v>
      </c>
      <c r="H227" s="7">
        <f>VLOOKUP(B227,Data!$A$1:$G$7,7,FALSE)*C227</f>
        <v>36400</v>
      </c>
      <c r="I227" s="7">
        <f t="shared" si="16"/>
        <v>14</v>
      </c>
      <c r="J227" s="7"/>
    </row>
    <row r="228" spans="1:10" x14ac:dyDescent="0.3">
      <c r="A228" s="2">
        <v>45771</v>
      </c>
      <c r="B228" t="s">
        <v>9</v>
      </c>
      <c r="C228" s="3">
        <v>5</v>
      </c>
      <c r="D228" s="3">
        <v>1</v>
      </c>
      <c r="E228" s="3" t="s">
        <v>234</v>
      </c>
      <c r="F228" s="7">
        <f>VLOOKUP(Prediction!B228,Data!$A$1:$F$7,2,)*C228*D228/1000</f>
        <v>1.6</v>
      </c>
      <c r="G228" s="7">
        <f>VLOOKUP(B228,Data!$A$1:$F$7,4,FALSE)*C228*D228/1000</f>
        <v>3.14</v>
      </c>
      <c r="H228" s="7">
        <f>VLOOKUP(B228,Data!$A$1:$G$7,7,FALSE)*C228</f>
        <v>23500</v>
      </c>
      <c r="I228" s="7">
        <f t="shared" si="16"/>
        <v>5</v>
      </c>
      <c r="J228" s="7"/>
    </row>
    <row r="229" spans="1:10" x14ac:dyDescent="0.3">
      <c r="A229" s="2">
        <v>45771</v>
      </c>
      <c r="B229" t="s">
        <v>7</v>
      </c>
      <c r="C229" s="3">
        <v>5</v>
      </c>
      <c r="D229" s="3">
        <v>1</v>
      </c>
      <c r="E229" s="3" t="s">
        <v>229</v>
      </c>
      <c r="F229" s="7">
        <f>VLOOKUP(Prediction!B229,Data!$A$1:$F$7,2,)*C229*D229/1000</f>
        <v>1.25</v>
      </c>
      <c r="G229" s="7">
        <f>VLOOKUP(B229,Data!$A$1:$F$7,4,FALSE)*C229*D229/1000</f>
        <v>4.08</v>
      </c>
      <c r="H229" s="7">
        <f>VLOOKUP(B229,Data!$A$1:$G$7,7,FALSE)*C229</f>
        <v>26000</v>
      </c>
      <c r="I229" s="7">
        <f t="shared" si="16"/>
        <v>5</v>
      </c>
      <c r="J229" s="7"/>
    </row>
    <row r="230" spans="1:10" x14ac:dyDescent="0.3">
      <c r="A230" s="2">
        <v>45772</v>
      </c>
      <c r="B230" t="s">
        <v>7</v>
      </c>
      <c r="C230" s="3">
        <v>4</v>
      </c>
      <c r="D230" s="3">
        <v>1</v>
      </c>
      <c r="E230" s="3" t="s">
        <v>229</v>
      </c>
      <c r="F230" s="7">
        <f>VLOOKUP(Prediction!B230,Data!$A$1:$F$7,2,)*C230*D230/1000</f>
        <v>1</v>
      </c>
      <c r="G230" s="7">
        <f>VLOOKUP(B230,Data!$A$1:$F$7,4,FALSE)*C230*D230/1000</f>
        <v>3.2639999999999998</v>
      </c>
      <c r="H230" s="7">
        <f>VLOOKUP(B230,Data!$A$1:$G$7,7,FALSE)*C230</f>
        <v>20800</v>
      </c>
      <c r="I230" s="7">
        <f t="shared" si="16"/>
        <v>4</v>
      </c>
      <c r="J230" s="7"/>
    </row>
    <row r="231" spans="1:10" x14ac:dyDescent="0.3">
      <c r="A231" s="2">
        <v>45772</v>
      </c>
      <c r="B231" t="s">
        <v>73</v>
      </c>
      <c r="C231" s="3">
        <v>7.5</v>
      </c>
      <c r="D231" s="3">
        <v>5</v>
      </c>
      <c r="E231" s="3" t="s">
        <v>242</v>
      </c>
      <c r="F231" s="7">
        <f>VLOOKUP(Prediction!B231,Data!$A$1:$F$7,2,)*C231*D231/1000</f>
        <v>9.9375</v>
      </c>
      <c r="G231" s="7">
        <f>VLOOKUP(B231,Data!$A$1:$F$7,4,FALSE)*C231*D231/1000</f>
        <v>29.625</v>
      </c>
      <c r="H231" s="7">
        <f>VLOOKUP(B231,Data!$A$1:$G$7,7,FALSE)*C231</f>
        <v>40875</v>
      </c>
      <c r="I231" s="7">
        <f t="shared" si="16"/>
        <v>37.5</v>
      </c>
      <c r="J231" s="7"/>
    </row>
    <row r="232" spans="1:10" x14ac:dyDescent="0.3">
      <c r="A232" s="2">
        <v>45773</v>
      </c>
      <c r="B232" t="s">
        <v>7</v>
      </c>
      <c r="C232" s="3">
        <v>3.25</v>
      </c>
      <c r="D232" s="3">
        <v>1</v>
      </c>
      <c r="E232" s="3" t="s">
        <v>229</v>
      </c>
      <c r="F232" s="7">
        <f>VLOOKUP(Prediction!B232,Data!$A$1:$F$7,2,)*C232*D232/1000</f>
        <v>0.8125</v>
      </c>
      <c r="G232" s="7">
        <f>VLOOKUP(B232,Data!$A$1:$F$7,4,FALSE)*C232*D232/1000</f>
        <v>2.6520000000000001</v>
      </c>
      <c r="H232" s="7">
        <f>VLOOKUP(B232,Data!$A$1:$G$7,7,FALSE)*C232</f>
        <v>16900</v>
      </c>
      <c r="I232" s="7">
        <f t="shared" si="16"/>
        <v>3.25</v>
      </c>
      <c r="J232" s="7"/>
    </row>
    <row r="233" spans="1:10" x14ac:dyDescent="0.3">
      <c r="A233" s="2">
        <v>45773</v>
      </c>
      <c r="B233" t="s">
        <v>7</v>
      </c>
      <c r="C233" s="3">
        <v>6</v>
      </c>
      <c r="D233" s="3">
        <v>2</v>
      </c>
      <c r="E233" s="3" t="s">
        <v>232</v>
      </c>
      <c r="F233" s="7">
        <f>VLOOKUP(Prediction!B233,Data!$A$1:$F$7,2,)*C233*D233/1000</f>
        <v>3</v>
      </c>
      <c r="G233" s="7">
        <f>VLOOKUP(B233,Data!$A$1:$F$7,4,FALSE)*C233*D233/1000</f>
        <v>9.7919999999999998</v>
      </c>
      <c r="H233" s="7">
        <f>VLOOKUP(B233,Data!$A$1:$G$7,7,FALSE)*C233</f>
        <v>31200</v>
      </c>
      <c r="I233" s="7">
        <f t="shared" si="16"/>
        <v>12</v>
      </c>
      <c r="J233" s="7"/>
    </row>
    <row r="234" spans="1:10" x14ac:dyDescent="0.3">
      <c r="A234" s="2">
        <v>45773</v>
      </c>
      <c r="B234" t="s">
        <v>7</v>
      </c>
      <c r="C234" s="3">
        <v>7</v>
      </c>
      <c r="D234" s="3">
        <v>1</v>
      </c>
      <c r="E234" s="3" t="s">
        <v>232</v>
      </c>
      <c r="F234" s="7">
        <f>VLOOKUP(Prediction!B234,Data!$A$1:$F$7,2,)*C234*D234/1000</f>
        <v>1.75</v>
      </c>
      <c r="G234" s="7">
        <f>VLOOKUP(B234,Data!$A$1:$F$7,4,FALSE)*C234*D234/1000</f>
        <v>5.7119999999999997</v>
      </c>
      <c r="H234" s="7">
        <f>VLOOKUP(B234,Data!$A$1:$G$7,7,FALSE)*C234</f>
        <v>36400</v>
      </c>
      <c r="I234" s="7">
        <f t="shared" si="16"/>
        <v>7</v>
      </c>
      <c r="J234" s="7"/>
    </row>
    <row r="235" spans="1:10" x14ac:dyDescent="0.3">
      <c r="A235" s="2">
        <v>45773</v>
      </c>
      <c r="B235" t="s">
        <v>17</v>
      </c>
      <c r="C235" s="3">
        <v>7.5</v>
      </c>
      <c r="D235" s="3">
        <v>1</v>
      </c>
      <c r="E235" s="3" t="s">
        <v>232</v>
      </c>
      <c r="F235" s="7">
        <f>VLOOKUP(Prediction!B235,Data!$A$1:$F$7,2,)*C235*D235/1000</f>
        <v>1.575</v>
      </c>
      <c r="G235" s="7">
        <f>VLOOKUP(B235,Data!$A$1:$F$7,4,FALSE)*C235*D235/1000</f>
        <v>5.7975000000000003</v>
      </c>
      <c r="H235" s="7">
        <f>VLOOKUP(B235,Data!$A$1:$G$7,7,FALSE)*C235</f>
        <v>30000</v>
      </c>
      <c r="I235" s="7">
        <f t="shared" si="16"/>
        <v>7.5</v>
      </c>
      <c r="J235" s="7"/>
    </row>
    <row r="236" spans="1:10" x14ac:dyDescent="0.3">
      <c r="A236" s="2">
        <v>45773</v>
      </c>
      <c r="B236" t="s">
        <v>4</v>
      </c>
      <c r="C236" s="3">
        <v>7.5</v>
      </c>
      <c r="D236" s="3">
        <v>2</v>
      </c>
      <c r="E236" s="3" t="s">
        <v>224</v>
      </c>
      <c r="F236" s="7">
        <f>VLOOKUP(Prediction!B236,Data!$A$1:$F$7,2,)*C236*D236/1000</f>
        <v>3.45</v>
      </c>
      <c r="G236" s="7">
        <f>VLOOKUP(B236,Data!$A$1:$F$7,4,FALSE)*C236*D236/1000</f>
        <v>10.08</v>
      </c>
      <c r="H236" s="7">
        <f>VLOOKUP(B236,Data!$A$1:$G$7,7,FALSE)*C236</f>
        <v>37500</v>
      </c>
      <c r="I236" s="7">
        <f t="shared" si="16"/>
        <v>15</v>
      </c>
      <c r="J236" s="7"/>
    </row>
    <row r="237" spans="1:10" x14ac:dyDescent="0.3">
      <c r="A237" s="2">
        <v>45775</v>
      </c>
      <c r="B237" t="s">
        <v>4</v>
      </c>
      <c r="C237" s="3">
        <v>7</v>
      </c>
      <c r="D237" s="3">
        <v>2</v>
      </c>
      <c r="E237" s="3" t="s">
        <v>213</v>
      </c>
      <c r="F237" s="7">
        <f>VLOOKUP(Prediction!B237,Data!$A$1:$F$7,2,)*C237*D237/1000</f>
        <v>3.22</v>
      </c>
      <c r="G237" s="7">
        <f>VLOOKUP(B237,Data!$A$1:$F$7,4,FALSE)*C237*D237/1000</f>
        <v>9.4079999999999995</v>
      </c>
      <c r="H237" s="7">
        <f>VLOOKUP(B237,Data!$A$1:$G$7,7,FALSE)*C237</f>
        <v>35000</v>
      </c>
      <c r="I237" s="7">
        <f t="shared" si="16"/>
        <v>14</v>
      </c>
      <c r="J237" s="7"/>
    </row>
    <row r="238" spans="1:10" x14ac:dyDescent="0.3">
      <c r="A238" s="2">
        <v>45777</v>
      </c>
      <c r="B238" t="s">
        <v>9</v>
      </c>
      <c r="C238" s="3">
        <v>3</v>
      </c>
      <c r="D238" s="3">
        <v>1</v>
      </c>
      <c r="E238" s="3" t="s">
        <v>227</v>
      </c>
      <c r="F238" s="7">
        <f>VLOOKUP(Prediction!B238,Data!$A$1:$F$7,2,)*C238*D238/1000</f>
        <v>0.96</v>
      </c>
      <c r="G238" s="7">
        <f>VLOOKUP(B238,Data!$A$1:$F$7,4,FALSE)*C238*D238/1000</f>
        <v>1.8839999999999999</v>
      </c>
      <c r="H238" s="7">
        <f>VLOOKUP(B238,Data!$A$1:$G$7,7,FALSE)*C238</f>
        <v>14100</v>
      </c>
      <c r="I238" s="7">
        <f t="shared" si="16"/>
        <v>3</v>
      </c>
      <c r="J238" s="7"/>
    </row>
    <row r="239" spans="1:10" x14ac:dyDescent="0.3">
      <c r="A239" s="2">
        <v>45777</v>
      </c>
      <c r="B239" t="s">
        <v>7</v>
      </c>
      <c r="C239" s="3">
        <v>6</v>
      </c>
      <c r="D239" s="3">
        <v>2</v>
      </c>
      <c r="E239" s="3" t="s">
        <v>232</v>
      </c>
      <c r="F239" s="7">
        <f>VLOOKUP(Prediction!B239,Data!$A$1:$F$7,2,)*C239*D239/1000</f>
        <v>3</v>
      </c>
      <c r="G239" s="7">
        <f>VLOOKUP(B239,Data!$A$1:$F$7,4,FALSE)*C239*D239/1000</f>
        <v>9.7919999999999998</v>
      </c>
      <c r="H239" s="7">
        <f>VLOOKUP(B239,Data!$A$1:$G$7,7,FALSE)*C239</f>
        <v>31200</v>
      </c>
      <c r="I239" s="7">
        <f t="shared" si="16"/>
        <v>12</v>
      </c>
      <c r="J239" s="7"/>
    </row>
    <row r="240" spans="1:10" x14ac:dyDescent="0.3">
      <c r="A240" s="2">
        <v>45777</v>
      </c>
      <c r="B240" t="s">
        <v>7</v>
      </c>
      <c r="C240" s="3">
        <v>2</v>
      </c>
      <c r="D240" s="3">
        <v>1</v>
      </c>
      <c r="E240" s="3" t="s">
        <v>232</v>
      </c>
      <c r="F240" s="7">
        <f>VLOOKUP(Prediction!B240,Data!$A$1:$F$7,2,)*C240*D240/1000</f>
        <v>0.5</v>
      </c>
      <c r="G240" s="7">
        <f>VLOOKUP(B240,Data!$A$1:$F$7,4,FALSE)*C240*D240/1000</f>
        <v>1.6319999999999999</v>
      </c>
      <c r="H240" s="7">
        <f>VLOOKUP(B240,Data!$A$1:$G$7,7,FALSE)*C240</f>
        <v>10400</v>
      </c>
      <c r="I240" s="7">
        <f t="shared" si="16"/>
        <v>2</v>
      </c>
      <c r="J240" s="7"/>
    </row>
    <row r="241" spans="1:10" x14ac:dyDescent="0.3">
      <c r="A241" s="2">
        <v>45778</v>
      </c>
      <c r="B241" t="s">
        <v>4</v>
      </c>
      <c r="C241" s="3">
        <v>5.5</v>
      </c>
      <c r="D241" s="3">
        <v>1</v>
      </c>
      <c r="E241" s="3" t="s">
        <v>189</v>
      </c>
      <c r="F241" s="7">
        <f>VLOOKUP(Prediction!B241,Data!$A$1:$F$7,2,)*C241*D241/1000</f>
        <v>1.2649999999999999</v>
      </c>
      <c r="G241" s="7">
        <f>VLOOKUP(B241,Data!$A$1:$F$7,4,FALSE)*C241*D241/1000</f>
        <v>3.6960000000000002</v>
      </c>
      <c r="H241" s="7">
        <f>VLOOKUP(B241,Data!$A$1:$G$7,7,FALSE)*C241</f>
        <v>27500</v>
      </c>
      <c r="I241" s="7">
        <f t="shared" si="16"/>
        <v>5.5</v>
      </c>
      <c r="J241" s="7"/>
    </row>
    <row r="242" spans="1:10" x14ac:dyDescent="0.3">
      <c r="A242" s="2">
        <v>45778</v>
      </c>
      <c r="B242" t="s">
        <v>4</v>
      </c>
      <c r="C242" s="3">
        <v>6</v>
      </c>
      <c r="D242" s="3">
        <v>3</v>
      </c>
      <c r="E242" s="3" t="s">
        <v>189</v>
      </c>
      <c r="F242" s="7">
        <f>VLOOKUP(Prediction!B242,Data!$A$1:$F$7,2,)*C242*D242/1000</f>
        <v>4.1399999999999997</v>
      </c>
      <c r="G242" s="7">
        <f>VLOOKUP(B242,Data!$A$1:$F$7,4,FALSE)*C242*D242/1000</f>
        <v>12.096</v>
      </c>
      <c r="H242" s="7">
        <f>VLOOKUP(B242,Data!$A$1:$G$7,7,FALSE)*C242</f>
        <v>30000</v>
      </c>
      <c r="I242" s="7">
        <f t="shared" si="16"/>
        <v>18</v>
      </c>
      <c r="J242" s="7"/>
    </row>
    <row r="243" spans="1:10" x14ac:dyDescent="0.3">
      <c r="A243" s="2">
        <v>45778</v>
      </c>
      <c r="B243" t="s">
        <v>4</v>
      </c>
      <c r="C243" s="3">
        <v>7</v>
      </c>
      <c r="D243" s="3">
        <v>5</v>
      </c>
      <c r="E243" s="3" t="s">
        <v>189</v>
      </c>
      <c r="F243" s="7">
        <f>VLOOKUP(Prediction!B243,Data!$A$1:$F$7,2,)*C243*D243/1000</f>
        <v>8.0500000000000007</v>
      </c>
      <c r="G243" s="7">
        <f>VLOOKUP(B243,Data!$A$1:$F$7,4,FALSE)*C243*D243/1000</f>
        <v>23.52</v>
      </c>
      <c r="H243" s="7">
        <f>VLOOKUP(B243,Data!$A$1:$G$7,7,FALSE)*C243</f>
        <v>35000</v>
      </c>
      <c r="I243" s="7">
        <f t="shared" si="16"/>
        <v>35</v>
      </c>
      <c r="J243" s="7"/>
    </row>
    <row r="244" spans="1:10" x14ac:dyDescent="0.3">
      <c r="A244" s="2">
        <v>45778</v>
      </c>
      <c r="B244" t="s">
        <v>4</v>
      </c>
      <c r="C244" s="3">
        <v>8</v>
      </c>
      <c r="D244" s="3">
        <v>1</v>
      </c>
      <c r="E244" s="3" t="s">
        <v>189</v>
      </c>
      <c r="F244" s="7">
        <f>VLOOKUP(Prediction!B244,Data!$A$1:$F$7,2,)*C244*D244/1000</f>
        <v>1.84</v>
      </c>
      <c r="G244" s="7">
        <f>VLOOKUP(B244,Data!$A$1:$F$7,4,FALSE)*C244*D244/1000</f>
        <v>5.3760000000000003</v>
      </c>
      <c r="H244" s="7">
        <f>VLOOKUP(B244,Data!$A$1:$G$7,7,FALSE)*C244</f>
        <v>40000</v>
      </c>
      <c r="I244" s="7">
        <f t="shared" si="16"/>
        <v>8</v>
      </c>
      <c r="J244" s="7"/>
    </row>
    <row r="245" spans="1:10" x14ac:dyDescent="0.3">
      <c r="A245" s="2">
        <v>45778</v>
      </c>
      <c r="B245" t="s">
        <v>13</v>
      </c>
      <c r="C245" s="3">
        <v>6</v>
      </c>
      <c r="D245" s="3">
        <v>1</v>
      </c>
      <c r="E245" s="3" t="s">
        <v>195</v>
      </c>
      <c r="F245" s="7">
        <f>VLOOKUP(Prediction!B245,Data!$A$1:$F$7,2,)*C245*D245/1000</f>
        <v>1.56</v>
      </c>
      <c r="G245" s="7">
        <f>VLOOKUP(B245,Data!$A$1:$F$7,4,FALSE)*C245*D245/1000</f>
        <v>4.3019999999999996</v>
      </c>
      <c r="H245" s="7">
        <f>VLOOKUP(B245,Data!$A$1:$G$7,7,FALSE)*C245</f>
        <v>25800</v>
      </c>
      <c r="I245" s="7">
        <f t="shared" si="16"/>
        <v>6</v>
      </c>
      <c r="J245" s="7"/>
    </row>
    <row r="246" spans="1:10" x14ac:dyDescent="0.3">
      <c r="A246" s="2">
        <v>45778</v>
      </c>
      <c r="B246" t="s">
        <v>4</v>
      </c>
      <c r="C246" s="3">
        <v>7</v>
      </c>
      <c r="D246" s="3">
        <v>5</v>
      </c>
      <c r="E246" s="3" t="s">
        <v>220</v>
      </c>
      <c r="F246" s="7">
        <f>VLOOKUP(Prediction!B246,Data!$A$1:$F$7,2,)*C246*D246/1000</f>
        <v>8.0500000000000007</v>
      </c>
      <c r="G246" s="7">
        <f>VLOOKUP(B246,Data!$A$1:$F$7,4,FALSE)*C246*D246/1000</f>
        <v>23.52</v>
      </c>
      <c r="H246" s="7">
        <f>VLOOKUP(B246,Data!$A$1:$G$7,7,FALSE)*C246</f>
        <v>35000</v>
      </c>
      <c r="I246" s="7">
        <f t="shared" si="16"/>
        <v>35</v>
      </c>
      <c r="J246" s="7"/>
    </row>
    <row r="247" spans="1:10" x14ac:dyDescent="0.3">
      <c r="A247" s="2">
        <v>45778</v>
      </c>
      <c r="B247" t="s">
        <v>4</v>
      </c>
      <c r="C247" s="3">
        <v>1.5</v>
      </c>
      <c r="D247" s="3">
        <v>1</v>
      </c>
      <c r="E247" s="3" t="s">
        <v>220</v>
      </c>
      <c r="F247" s="7">
        <f>VLOOKUP(Prediction!B247,Data!$A$1:$F$7,2,)*C247*D247/1000</f>
        <v>0.34499999999999997</v>
      </c>
      <c r="G247" s="7">
        <f>VLOOKUP(B247,Data!$A$1:$F$7,4,FALSE)*C247*D247/1000</f>
        <v>1.008</v>
      </c>
      <c r="H247" s="7">
        <f>VLOOKUP(B247,Data!$A$1:$G$7,7,FALSE)*C247</f>
        <v>7500</v>
      </c>
      <c r="I247" s="7">
        <f t="shared" si="16"/>
        <v>1.5</v>
      </c>
      <c r="J247" s="7"/>
    </row>
    <row r="248" spans="1:10" x14ac:dyDescent="0.3">
      <c r="A248" s="2">
        <v>45780</v>
      </c>
      <c r="B248" t="s">
        <v>7</v>
      </c>
      <c r="C248" s="3">
        <v>7</v>
      </c>
      <c r="D248" s="3">
        <v>2</v>
      </c>
      <c r="E248" s="3" t="s">
        <v>195</v>
      </c>
      <c r="F248" s="7">
        <f>VLOOKUP(Prediction!B248,Data!$A$1:$F$7,2,)*C248*D248/1000</f>
        <v>3.5</v>
      </c>
      <c r="G248" s="7">
        <f>VLOOKUP(B248,Data!$A$1:$F$7,4,FALSE)*C248*D248/1000</f>
        <v>11.423999999999999</v>
      </c>
      <c r="H248" s="7">
        <f>VLOOKUP(B248,Data!$A$1:$G$7,7,FALSE)*C248</f>
        <v>36400</v>
      </c>
      <c r="I248" s="7">
        <f t="shared" si="16"/>
        <v>14</v>
      </c>
      <c r="J248" s="7"/>
    </row>
    <row r="249" spans="1:10" x14ac:dyDescent="0.3">
      <c r="A249" s="2">
        <v>45780</v>
      </c>
      <c r="B249" t="s">
        <v>4</v>
      </c>
      <c r="C249" s="3">
        <v>7</v>
      </c>
      <c r="D249" s="3">
        <v>2</v>
      </c>
      <c r="E249" s="3" t="s">
        <v>215</v>
      </c>
      <c r="F249" s="7">
        <f>VLOOKUP(Prediction!B249,Data!$A$1:$F$7,2,)*C249*D249/1000</f>
        <v>3.22</v>
      </c>
      <c r="G249" s="7">
        <f>VLOOKUP(B249,Data!$A$1:$F$7,4,FALSE)*C249*D249/1000</f>
        <v>9.4079999999999995</v>
      </c>
      <c r="H249" s="7">
        <f>VLOOKUP(B249,Data!$A$1:$G$7,7,FALSE)*C249</f>
        <v>35000</v>
      </c>
      <c r="I249" s="7">
        <f t="shared" si="16"/>
        <v>14</v>
      </c>
      <c r="J249" s="7"/>
    </row>
    <row r="250" spans="1:10" x14ac:dyDescent="0.3">
      <c r="A250" s="2">
        <v>45780</v>
      </c>
      <c r="B250" t="s">
        <v>4</v>
      </c>
      <c r="C250" s="3">
        <v>6.5</v>
      </c>
      <c r="D250" s="3">
        <v>1</v>
      </c>
      <c r="E250" s="3" t="s">
        <v>215</v>
      </c>
      <c r="F250" s="7">
        <f>VLOOKUP(Prediction!B250,Data!$A$1:$F$7,2,)*C250*D250/1000</f>
        <v>1.4950000000000001</v>
      </c>
      <c r="G250" s="7">
        <f>VLOOKUP(B250,Data!$A$1:$F$7,4,FALSE)*C250*D250/1000</f>
        <v>4.3680000000000003</v>
      </c>
      <c r="H250" s="7">
        <f>VLOOKUP(B250,Data!$A$1:$G$7,7,FALSE)*C250</f>
        <v>32500</v>
      </c>
      <c r="I250" s="7">
        <f t="shared" si="16"/>
        <v>6.5</v>
      </c>
      <c r="J250" s="7"/>
    </row>
    <row r="251" spans="1:10" x14ac:dyDescent="0.3">
      <c r="A251" s="2">
        <v>45780</v>
      </c>
      <c r="B251" t="s">
        <v>9</v>
      </c>
      <c r="C251" s="3">
        <v>6</v>
      </c>
      <c r="D251" s="3">
        <v>1</v>
      </c>
      <c r="E251" s="3" t="s">
        <v>201</v>
      </c>
      <c r="F251" s="7">
        <f>VLOOKUP(Prediction!B251,Data!$A$1:$F$7,2,)*C251*D251/1000</f>
        <v>1.92</v>
      </c>
      <c r="G251" s="7">
        <f>VLOOKUP(B251,Data!$A$1:$F$7,4,FALSE)*C251*D251/1000</f>
        <v>3.7679999999999998</v>
      </c>
      <c r="H251" s="7">
        <f>VLOOKUP(B251,Data!$A$1:$G$7,7,FALSE)*C251</f>
        <v>28200</v>
      </c>
      <c r="I251" s="7">
        <f t="shared" si="16"/>
        <v>6</v>
      </c>
      <c r="J251" s="7"/>
    </row>
    <row r="252" spans="1:10" x14ac:dyDescent="0.3">
      <c r="A252" s="2">
        <v>45780</v>
      </c>
      <c r="B252" t="s">
        <v>9</v>
      </c>
      <c r="C252" s="3">
        <v>7</v>
      </c>
      <c r="D252" s="3">
        <v>2</v>
      </c>
      <c r="E252" s="3" t="s">
        <v>206</v>
      </c>
      <c r="F252" s="7">
        <f>VLOOKUP(Prediction!B252,Data!$A$1:$F$7,2,)*C252*D252/1000</f>
        <v>4.4800000000000004</v>
      </c>
      <c r="G252" s="7">
        <f>VLOOKUP(B252,Data!$A$1:$F$7,4,FALSE)*C252*D252/1000</f>
        <v>8.7919999999999998</v>
      </c>
      <c r="H252" s="7">
        <f>VLOOKUP(B252,Data!$A$1:$G$7,7,FALSE)*C252</f>
        <v>32900</v>
      </c>
      <c r="I252" s="7">
        <f t="shared" si="16"/>
        <v>14</v>
      </c>
      <c r="J252" s="7"/>
    </row>
    <row r="253" spans="1:10" x14ac:dyDescent="0.3">
      <c r="A253" s="2">
        <v>45780</v>
      </c>
      <c r="B253" t="s">
        <v>9</v>
      </c>
      <c r="C253" s="3">
        <v>6</v>
      </c>
      <c r="D253" s="3">
        <v>1</v>
      </c>
      <c r="E253" s="3" t="s">
        <v>206</v>
      </c>
      <c r="F253" s="7">
        <f>VLOOKUP(Prediction!B253,Data!$A$1:$F$7,2,)*C253*D253/1000</f>
        <v>1.92</v>
      </c>
      <c r="G253" s="7">
        <f>VLOOKUP(B253,Data!$A$1:$F$7,4,FALSE)*C253*D253/1000</f>
        <v>3.7679999999999998</v>
      </c>
      <c r="H253" s="7">
        <f>VLOOKUP(B253,Data!$A$1:$G$7,7,FALSE)*C253</f>
        <v>28200</v>
      </c>
      <c r="I253" s="7">
        <f t="shared" si="16"/>
        <v>6</v>
      </c>
      <c r="J253" s="7"/>
    </row>
    <row r="254" spans="1:10" x14ac:dyDescent="0.3">
      <c r="A254" s="2">
        <v>45780</v>
      </c>
      <c r="B254" t="s">
        <v>7</v>
      </c>
      <c r="C254" s="3">
        <v>7</v>
      </c>
      <c r="D254" s="3">
        <v>1</v>
      </c>
      <c r="E254" s="3" t="s">
        <v>195</v>
      </c>
      <c r="F254" s="7">
        <f>VLOOKUP(Prediction!B254,Data!$A$1:$F$7,2,)*C254*D254/1000</f>
        <v>1.75</v>
      </c>
      <c r="G254" s="7">
        <f>VLOOKUP(B254,Data!$A$1:$F$7,4,FALSE)*C254*D254/1000</f>
        <v>5.7119999999999997</v>
      </c>
      <c r="H254" s="7">
        <f>VLOOKUP(B254,Data!$A$1:$G$7,7,FALSE)*C254</f>
        <v>36400</v>
      </c>
      <c r="I254" s="7">
        <f t="shared" si="16"/>
        <v>7</v>
      </c>
      <c r="J254" s="7"/>
    </row>
    <row r="255" spans="1:10" x14ac:dyDescent="0.3">
      <c r="A255" s="2">
        <v>45780</v>
      </c>
      <c r="B255" t="s">
        <v>7</v>
      </c>
      <c r="C255" s="3">
        <v>6.5</v>
      </c>
      <c r="D255" s="3">
        <v>1</v>
      </c>
      <c r="E255" s="3" t="s">
        <v>195</v>
      </c>
      <c r="F255" s="7">
        <f>VLOOKUP(Prediction!B255,Data!$A$1:$F$7,2,)*C255*D255/1000</f>
        <v>1.625</v>
      </c>
      <c r="G255" s="7">
        <f>VLOOKUP(B255,Data!$A$1:$F$7,4,FALSE)*C255*D255/1000</f>
        <v>5.3040000000000003</v>
      </c>
      <c r="H255" s="7">
        <f>VLOOKUP(B255,Data!$A$1:$G$7,7,FALSE)*C255</f>
        <v>33800</v>
      </c>
      <c r="I255" s="7">
        <f t="shared" si="16"/>
        <v>6.5</v>
      </c>
      <c r="J255" s="7"/>
    </row>
    <row r="256" spans="1:10" x14ac:dyDescent="0.3">
      <c r="A256" s="2">
        <v>45780</v>
      </c>
      <c r="B256" t="s">
        <v>7</v>
      </c>
      <c r="C256" s="3">
        <v>6</v>
      </c>
      <c r="D256" s="3">
        <v>1</v>
      </c>
      <c r="E256" s="3" t="s">
        <v>232</v>
      </c>
      <c r="F256" s="7">
        <f>VLOOKUP(Prediction!B256,Data!$A$1:$F$7,2,)*C256*D256/1000</f>
        <v>1.5</v>
      </c>
      <c r="G256" s="7">
        <f>VLOOKUP(B256,Data!$A$1:$F$7,4,FALSE)*C256*D256/1000</f>
        <v>4.8959999999999999</v>
      </c>
      <c r="H256" s="7">
        <f>VLOOKUP(B256,Data!$A$1:$G$7,7,FALSE)*C256</f>
        <v>31200</v>
      </c>
      <c r="I256" s="7">
        <f t="shared" si="16"/>
        <v>6</v>
      </c>
      <c r="J256" s="7"/>
    </row>
    <row r="257" spans="1:10" x14ac:dyDescent="0.3">
      <c r="A257" s="2">
        <v>45780</v>
      </c>
      <c r="B257" t="s">
        <v>7</v>
      </c>
      <c r="C257" s="3">
        <v>5</v>
      </c>
      <c r="D257" s="3">
        <v>1</v>
      </c>
      <c r="E257" s="3" t="s">
        <v>232</v>
      </c>
      <c r="F257" s="7">
        <f>VLOOKUP(Prediction!B257,Data!$A$1:$F$7,2,)*C257*D257/1000</f>
        <v>1.25</v>
      </c>
      <c r="G257" s="7">
        <f>VLOOKUP(B257,Data!$A$1:$F$7,4,FALSE)*C257*D257/1000</f>
        <v>4.08</v>
      </c>
      <c r="H257" s="7">
        <f>VLOOKUP(B257,Data!$A$1:$G$7,7,FALSE)*C257</f>
        <v>26000</v>
      </c>
      <c r="I257" s="7">
        <f t="shared" si="16"/>
        <v>5</v>
      </c>
      <c r="J257" s="7"/>
    </row>
    <row r="258" spans="1:10" x14ac:dyDescent="0.3">
      <c r="A258" s="2">
        <v>45780</v>
      </c>
      <c r="B258" t="s">
        <v>7</v>
      </c>
      <c r="C258" s="3">
        <v>3</v>
      </c>
      <c r="D258" s="3">
        <v>1</v>
      </c>
      <c r="E258" s="3" t="s">
        <v>232</v>
      </c>
      <c r="F258" s="7">
        <f>VLOOKUP(Prediction!B258,Data!$A$1:$F$7,2,)*C258*D258/1000</f>
        <v>0.75</v>
      </c>
      <c r="G258" s="7">
        <f>VLOOKUP(B258,Data!$A$1:$F$7,4,FALSE)*C258*D258/1000</f>
        <v>2.448</v>
      </c>
      <c r="H258" s="7">
        <f>VLOOKUP(B258,Data!$A$1:$G$7,7,FALSE)*C258</f>
        <v>15600</v>
      </c>
      <c r="I258" s="7">
        <f t="shared" si="16"/>
        <v>3</v>
      </c>
      <c r="J258" s="7"/>
    </row>
    <row r="259" spans="1:10" x14ac:dyDescent="0.3">
      <c r="A259" s="2">
        <v>45780</v>
      </c>
      <c r="B259" t="s">
        <v>4</v>
      </c>
      <c r="C259" s="3">
        <v>4</v>
      </c>
      <c r="D259" s="3">
        <v>1</v>
      </c>
      <c r="E259" s="3" t="s">
        <v>185</v>
      </c>
      <c r="F259" s="7">
        <f>VLOOKUP(Prediction!B259,Data!$A$1:$F$7,2,)*C259*D259/1000</f>
        <v>0.92</v>
      </c>
      <c r="G259" s="7">
        <f>VLOOKUP(B259,Data!$A$1:$F$7,4,FALSE)*C259*D259/1000</f>
        <v>2.6880000000000002</v>
      </c>
      <c r="H259" s="7">
        <f>VLOOKUP(B259,Data!$A$1:$G$7,7,FALSE)*C259</f>
        <v>20000</v>
      </c>
      <c r="I259" s="7">
        <f t="shared" ref="I259:I322" si="17">C259*D259</f>
        <v>4</v>
      </c>
      <c r="J259" s="7"/>
    </row>
    <row r="260" spans="1:10" x14ac:dyDescent="0.3">
      <c r="A260" s="2">
        <v>45783</v>
      </c>
      <c r="B260" t="s">
        <v>9</v>
      </c>
      <c r="C260" s="3">
        <v>7</v>
      </c>
      <c r="D260" s="3">
        <v>6</v>
      </c>
      <c r="E260" s="3" t="s">
        <v>183</v>
      </c>
      <c r="F260" s="7">
        <f>VLOOKUP(Prediction!B260,Data!$A$1:$F$7,2,)*C260*D260/1000</f>
        <v>13.44</v>
      </c>
      <c r="G260" s="7">
        <f>VLOOKUP(B260,Data!$A$1:$F$7,4,FALSE)*C260*D260/1000</f>
        <v>26.376000000000001</v>
      </c>
      <c r="H260" s="7">
        <f>VLOOKUP(B260,Data!$A$1:$G$7,7,FALSE)*C260</f>
        <v>32900</v>
      </c>
      <c r="I260" s="7">
        <f t="shared" si="17"/>
        <v>42</v>
      </c>
      <c r="J260" s="7"/>
    </row>
    <row r="261" spans="1:10" x14ac:dyDescent="0.3">
      <c r="A261" s="2">
        <v>45784</v>
      </c>
      <c r="B261" t="s">
        <v>17</v>
      </c>
      <c r="C261" s="3">
        <v>6</v>
      </c>
      <c r="D261" s="3">
        <v>3</v>
      </c>
      <c r="E261" s="3" t="s">
        <v>234</v>
      </c>
      <c r="F261" s="7">
        <f>VLOOKUP(Prediction!B261,Data!$A$1:$F$7,2,)*C261*D261/1000</f>
        <v>3.78</v>
      </c>
      <c r="G261" s="7">
        <f>VLOOKUP(B261,Data!$A$1:$F$7,4,FALSE)*C261*D261/1000</f>
        <v>13.914</v>
      </c>
      <c r="H261" s="7">
        <f>VLOOKUP(B261,Data!$A$1:$G$7,7,FALSE)*C261</f>
        <v>24000</v>
      </c>
      <c r="I261" s="7">
        <f t="shared" si="17"/>
        <v>18</v>
      </c>
      <c r="J261" s="7"/>
    </row>
    <row r="262" spans="1:10" x14ac:dyDescent="0.3">
      <c r="A262" s="2">
        <v>45785</v>
      </c>
      <c r="B262" t="s">
        <v>7</v>
      </c>
      <c r="C262" s="3">
        <v>6.5</v>
      </c>
      <c r="D262" s="3">
        <v>1</v>
      </c>
      <c r="E262" s="3" t="s">
        <v>244</v>
      </c>
      <c r="F262" s="7">
        <f>VLOOKUP(Prediction!B262,Data!$A$1:$F$7,2,)*C262*D262/1000</f>
        <v>1.625</v>
      </c>
      <c r="G262" s="7">
        <f>VLOOKUP(B262,Data!$A$1:$F$7,4,FALSE)*C262*D262/1000</f>
        <v>5.3040000000000003</v>
      </c>
      <c r="H262" s="7">
        <f>VLOOKUP(B262,Data!$A$1:$G$7,7,FALSE)*C262</f>
        <v>33800</v>
      </c>
      <c r="I262" s="7">
        <f t="shared" si="17"/>
        <v>6.5</v>
      </c>
      <c r="J262" s="7"/>
    </row>
    <row r="263" spans="1:10" x14ac:dyDescent="0.3">
      <c r="A263" s="2">
        <v>45785</v>
      </c>
      <c r="B263" t="s">
        <v>7</v>
      </c>
      <c r="C263" s="3">
        <v>7</v>
      </c>
      <c r="D263" s="3">
        <v>1</v>
      </c>
      <c r="E263" s="3" t="s">
        <v>244</v>
      </c>
      <c r="F263" s="7">
        <f>VLOOKUP(Prediction!B263,Data!$A$1:$F$7,2,)*C263*D263/1000</f>
        <v>1.75</v>
      </c>
      <c r="G263" s="7">
        <f>VLOOKUP(B263,Data!$A$1:$F$7,4,FALSE)*C263*D263/1000</f>
        <v>5.7119999999999997</v>
      </c>
      <c r="H263" s="7">
        <f>VLOOKUP(B263,Data!$A$1:$G$7,7,FALSE)*C263</f>
        <v>36400</v>
      </c>
      <c r="I263" s="7">
        <f t="shared" si="17"/>
        <v>7</v>
      </c>
      <c r="J263" s="7"/>
    </row>
    <row r="264" spans="1:10" x14ac:dyDescent="0.3">
      <c r="A264" s="2">
        <v>45785</v>
      </c>
      <c r="B264" t="s">
        <v>9</v>
      </c>
      <c r="C264" s="3">
        <v>7</v>
      </c>
      <c r="D264" s="3">
        <v>1</v>
      </c>
      <c r="E264" s="3" t="s">
        <v>219</v>
      </c>
      <c r="F264" s="7">
        <f>VLOOKUP(Prediction!B264,Data!$A$1:$F$7,2,)*C264*D264/1000</f>
        <v>2.2400000000000002</v>
      </c>
      <c r="G264" s="7">
        <f>VLOOKUP(B264,Data!$A$1:$F$7,4,FALSE)*C264*D264/1000</f>
        <v>4.3959999999999999</v>
      </c>
      <c r="H264" s="7">
        <f>VLOOKUP(B264,Data!$A$1:$G$7,7,FALSE)*C264</f>
        <v>32900</v>
      </c>
      <c r="I264" s="7">
        <f t="shared" si="17"/>
        <v>7</v>
      </c>
      <c r="J264" s="7"/>
    </row>
    <row r="265" spans="1:10" x14ac:dyDescent="0.3">
      <c r="A265" s="2">
        <v>45785</v>
      </c>
      <c r="B265" t="s">
        <v>9</v>
      </c>
      <c r="C265" s="3">
        <v>6</v>
      </c>
      <c r="D265" s="3">
        <v>2</v>
      </c>
      <c r="E265" s="3" t="s">
        <v>180</v>
      </c>
      <c r="F265" s="7">
        <f>VLOOKUP(Prediction!B265,Data!$A$1:$F$7,2,)*C265*D265/1000</f>
        <v>3.84</v>
      </c>
      <c r="G265" s="7">
        <f>VLOOKUP(B265,Data!$A$1:$F$7,4,FALSE)*C265*D265/1000</f>
        <v>7.5359999999999996</v>
      </c>
      <c r="H265" s="7">
        <f>VLOOKUP(B265,Data!$A$1:$G$7,7,FALSE)*C265</f>
        <v>28200</v>
      </c>
      <c r="I265" s="7">
        <f t="shared" si="17"/>
        <v>12</v>
      </c>
      <c r="J265" s="7"/>
    </row>
    <row r="266" spans="1:10" x14ac:dyDescent="0.3">
      <c r="A266" s="2">
        <v>45786</v>
      </c>
      <c r="B266" t="s">
        <v>17</v>
      </c>
      <c r="C266" s="3">
        <v>7</v>
      </c>
      <c r="D266" s="3">
        <v>1</v>
      </c>
      <c r="E266" s="3" t="s">
        <v>207</v>
      </c>
      <c r="F266" s="7">
        <f>VLOOKUP(Prediction!B266,Data!$A$1:$F$7,2,)*C266*D266/1000</f>
        <v>1.47</v>
      </c>
      <c r="G266" s="7">
        <f>VLOOKUP(B266,Data!$A$1:$F$7,4,FALSE)*C266*D266/1000</f>
        <v>5.4109999999999996</v>
      </c>
      <c r="H266" s="7">
        <f>VLOOKUP(B266,Data!$A$1:$G$7,7,FALSE)*C266</f>
        <v>28000</v>
      </c>
      <c r="I266" s="7">
        <f t="shared" si="17"/>
        <v>7</v>
      </c>
      <c r="J266" s="7"/>
    </row>
    <row r="267" spans="1:10" x14ac:dyDescent="0.3">
      <c r="A267" s="2">
        <v>45786</v>
      </c>
      <c r="B267" t="s">
        <v>17</v>
      </c>
      <c r="C267" s="3">
        <v>6</v>
      </c>
      <c r="D267" s="3">
        <v>2</v>
      </c>
      <c r="E267" s="3" t="s">
        <v>236</v>
      </c>
      <c r="F267" s="7">
        <f>VLOOKUP(Prediction!B267,Data!$A$1:$F$7,2,)*C267*D267/1000</f>
        <v>2.52</v>
      </c>
      <c r="G267" s="7">
        <f>VLOOKUP(B267,Data!$A$1:$F$7,4,FALSE)*C267*D267/1000</f>
        <v>9.2759999999999998</v>
      </c>
      <c r="H267" s="7">
        <f>VLOOKUP(B267,Data!$A$1:$G$7,7,FALSE)*C267</f>
        <v>24000</v>
      </c>
      <c r="I267" s="7">
        <f t="shared" si="17"/>
        <v>12</v>
      </c>
      <c r="J267" s="7"/>
    </row>
    <row r="268" spans="1:10" x14ac:dyDescent="0.3">
      <c r="A268" s="2">
        <v>45786</v>
      </c>
      <c r="B268" t="s">
        <v>17</v>
      </c>
      <c r="C268" s="3">
        <v>7</v>
      </c>
      <c r="D268" s="3">
        <v>3</v>
      </c>
      <c r="E268" s="3" t="s">
        <v>236</v>
      </c>
      <c r="F268" s="7">
        <f>VLOOKUP(Prediction!B268,Data!$A$1:$F$7,2,)*C268*D268/1000</f>
        <v>4.41</v>
      </c>
      <c r="G268" s="7">
        <f>VLOOKUP(B268,Data!$A$1:$F$7,4,FALSE)*C268*D268/1000</f>
        <v>16.233000000000001</v>
      </c>
      <c r="H268" s="7">
        <f>VLOOKUP(B268,Data!$A$1:$G$7,7,FALSE)*C268</f>
        <v>28000</v>
      </c>
      <c r="I268" s="7">
        <f t="shared" si="17"/>
        <v>21</v>
      </c>
      <c r="J268" s="7"/>
    </row>
    <row r="269" spans="1:10" x14ac:dyDescent="0.3">
      <c r="A269" s="2">
        <v>45787</v>
      </c>
      <c r="B269" t="s">
        <v>7</v>
      </c>
      <c r="C269" s="3">
        <v>6</v>
      </c>
      <c r="D269" s="3">
        <v>14</v>
      </c>
      <c r="E269" s="3" t="s">
        <v>236</v>
      </c>
      <c r="F269" s="7">
        <f>VLOOKUP(Prediction!B269,Data!$A$1:$F$7,2,)*C269*D269/1000</f>
        <v>21</v>
      </c>
      <c r="G269" s="7">
        <f>VLOOKUP(B269,Data!$A$1:$F$7,4,FALSE)*C269*D269/1000</f>
        <v>68.543999999999997</v>
      </c>
      <c r="H269" s="7">
        <f>VLOOKUP(B269,Data!$A$1:$G$7,7,FALSE)*C269</f>
        <v>31200</v>
      </c>
      <c r="I269" s="7">
        <f t="shared" si="17"/>
        <v>84</v>
      </c>
      <c r="J269" s="7"/>
    </row>
    <row r="270" spans="1:10" x14ac:dyDescent="0.3">
      <c r="A270" s="2">
        <v>45787</v>
      </c>
      <c r="B270" t="s">
        <v>17</v>
      </c>
      <c r="C270" s="3">
        <v>7</v>
      </c>
      <c r="D270" s="3">
        <v>2</v>
      </c>
      <c r="E270" s="3" t="s">
        <v>236</v>
      </c>
      <c r="F270" s="7">
        <f>VLOOKUP(Prediction!B270,Data!$A$1:$F$7,2,)*C270*D270/1000</f>
        <v>2.94</v>
      </c>
      <c r="G270" s="7">
        <f>VLOOKUP(B270,Data!$A$1:$F$7,4,FALSE)*C270*D270/1000</f>
        <v>10.821999999999999</v>
      </c>
      <c r="H270" s="7">
        <f>VLOOKUP(B270,Data!$A$1:$G$7,7,FALSE)*C270</f>
        <v>28000</v>
      </c>
      <c r="I270" s="7">
        <f t="shared" si="17"/>
        <v>14</v>
      </c>
      <c r="J270" s="7"/>
    </row>
    <row r="271" spans="1:10" x14ac:dyDescent="0.3">
      <c r="A271" s="2">
        <v>45787</v>
      </c>
      <c r="B271" t="s">
        <v>17</v>
      </c>
      <c r="C271" s="3">
        <v>6</v>
      </c>
      <c r="D271" s="3">
        <v>1</v>
      </c>
      <c r="E271" s="3" t="s">
        <v>236</v>
      </c>
      <c r="F271" s="7">
        <f>VLOOKUP(Prediction!B271,Data!$A$1:$F$7,2,)*C271*D271/1000</f>
        <v>1.26</v>
      </c>
      <c r="G271" s="7">
        <f>VLOOKUP(B271,Data!$A$1:$F$7,4,FALSE)*C271*D271/1000</f>
        <v>4.6379999999999999</v>
      </c>
      <c r="H271" s="7">
        <f>VLOOKUP(B271,Data!$A$1:$G$7,7,FALSE)*C271</f>
        <v>24000</v>
      </c>
      <c r="I271" s="7">
        <f t="shared" si="17"/>
        <v>6</v>
      </c>
      <c r="J271" s="7"/>
    </row>
    <row r="272" spans="1:10" x14ac:dyDescent="0.3">
      <c r="A272" s="2">
        <v>45788</v>
      </c>
      <c r="B272" t="s">
        <v>17</v>
      </c>
      <c r="C272" s="3">
        <v>7</v>
      </c>
      <c r="D272" s="3">
        <v>2</v>
      </c>
      <c r="E272" s="3" t="s">
        <v>236</v>
      </c>
      <c r="F272" s="7">
        <f>VLOOKUP(Prediction!B272,Data!$A$1:$F$7,2,)*C272*D272/1000</f>
        <v>2.94</v>
      </c>
      <c r="G272" s="7">
        <f>VLOOKUP(B272,Data!$A$1:$F$7,4,FALSE)*C272*D272/1000</f>
        <v>10.821999999999999</v>
      </c>
      <c r="H272" s="7">
        <f>VLOOKUP(B272,Data!$A$1:$G$7,7,FALSE)*C272</f>
        <v>28000</v>
      </c>
      <c r="I272" s="7">
        <f t="shared" si="17"/>
        <v>14</v>
      </c>
      <c r="J272" s="7"/>
    </row>
    <row r="273" spans="1:10" x14ac:dyDescent="0.3">
      <c r="A273" s="2">
        <v>45788</v>
      </c>
      <c r="B273" t="s">
        <v>7</v>
      </c>
      <c r="C273" s="3">
        <v>6</v>
      </c>
      <c r="D273" s="3">
        <v>12</v>
      </c>
      <c r="E273" s="3" t="s">
        <v>236</v>
      </c>
      <c r="F273" s="7">
        <f>VLOOKUP(Prediction!B273,Data!$A$1:$F$7,2,)*C273*D273/1000</f>
        <v>18</v>
      </c>
      <c r="G273" s="7">
        <f>VLOOKUP(B273,Data!$A$1:$F$7,4,FALSE)*C273*D273/1000</f>
        <v>58.752000000000002</v>
      </c>
      <c r="H273" s="7">
        <f>VLOOKUP(B273,Data!$A$1:$G$7,7,FALSE)*C273</f>
        <v>31200</v>
      </c>
      <c r="I273" s="7">
        <f t="shared" si="17"/>
        <v>72</v>
      </c>
      <c r="J273" s="7"/>
    </row>
    <row r="274" spans="1:10" x14ac:dyDescent="0.3">
      <c r="A274" s="2">
        <v>45789</v>
      </c>
      <c r="B274" t="s">
        <v>7</v>
      </c>
      <c r="C274" s="3">
        <v>6</v>
      </c>
      <c r="D274" s="3">
        <v>8</v>
      </c>
      <c r="E274" s="3" t="s">
        <v>236</v>
      </c>
      <c r="F274" s="7">
        <f>VLOOKUP(Prediction!B274,Data!$A$1:$F$7,2,)*C274*D274/1000</f>
        <v>12</v>
      </c>
      <c r="G274" s="7">
        <f>VLOOKUP(B274,Data!$A$1:$F$7,4,FALSE)*C274*D274/1000</f>
        <v>39.167999999999999</v>
      </c>
      <c r="H274" s="7">
        <f>VLOOKUP(B274,Data!$A$1:$G$7,7,FALSE)*C274</f>
        <v>31200</v>
      </c>
      <c r="I274" s="7">
        <f t="shared" si="17"/>
        <v>48</v>
      </c>
      <c r="J274" s="7"/>
    </row>
    <row r="275" spans="1:10" x14ac:dyDescent="0.3">
      <c r="A275" s="2">
        <v>45789</v>
      </c>
      <c r="B275" t="s">
        <v>17</v>
      </c>
      <c r="C275" s="3">
        <v>7</v>
      </c>
      <c r="D275" s="3">
        <v>3</v>
      </c>
      <c r="E275" s="3" t="s">
        <v>236</v>
      </c>
      <c r="F275" s="7">
        <f>VLOOKUP(Prediction!B275,Data!$A$1:$F$7,2,)*C275*D275/1000</f>
        <v>4.41</v>
      </c>
      <c r="G275" s="7">
        <f>VLOOKUP(B275,Data!$A$1:$F$7,4,FALSE)*C275*D275/1000</f>
        <v>16.233000000000001</v>
      </c>
      <c r="H275" s="7">
        <f>VLOOKUP(B275,Data!$A$1:$G$7,7,FALSE)*C275</f>
        <v>28000</v>
      </c>
      <c r="I275" s="7">
        <f t="shared" si="17"/>
        <v>21</v>
      </c>
      <c r="J275" s="7"/>
    </row>
    <row r="276" spans="1:10" x14ac:dyDescent="0.3">
      <c r="A276" s="2">
        <v>45789</v>
      </c>
      <c r="B276" t="s">
        <v>13</v>
      </c>
      <c r="C276" s="3">
        <v>7</v>
      </c>
      <c r="D276" s="3">
        <v>1</v>
      </c>
      <c r="E276" s="3" t="s">
        <v>195</v>
      </c>
      <c r="F276" s="7">
        <f>VLOOKUP(Prediction!B276,Data!$A$1:$F$7,2,)*C276*D276/1000</f>
        <v>1.82</v>
      </c>
      <c r="G276" s="7">
        <f>VLOOKUP(B276,Data!$A$1:$F$7,4,FALSE)*C276*D276/1000</f>
        <v>5.0190000000000001</v>
      </c>
      <c r="H276" s="7">
        <f>VLOOKUP(B276,Data!$A$1:$G$7,7,FALSE)*C276</f>
        <v>30100</v>
      </c>
      <c r="I276" s="7">
        <f t="shared" si="17"/>
        <v>7</v>
      </c>
      <c r="J276" s="7"/>
    </row>
    <row r="277" spans="1:10" x14ac:dyDescent="0.3">
      <c r="A277" s="2">
        <v>45789</v>
      </c>
      <c r="B277" t="s">
        <v>13</v>
      </c>
      <c r="C277" s="3">
        <v>6</v>
      </c>
      <c r="D277" s="3">
        <v>1</v>
      </c>
      <c r="E277" s="3" t="s">
        <v>195</v>
      </c>
      <c r="F277" s="7">
        <f>VLOOKUP(Prediction!B277,Data!$A$1:$F$7,2,)*C277*D277/1000</f>
        <v>1.56</v>
      </c>
      <c r="G277" s="7">
        <f>VLOOKUP(B277,Data!$A$1:$F$7,4,FALSE)*C277*D277/1000</f>
        <v>4.3019999999999996</v>
      </c>
      <c r="H277" s="7">
        <f>VLOOKUP(B277,Data!$A$1:$G$7,7,FALSE)*C277</f>
        <v>25800</v>
      </c>
      <c r="I277" s="7">
        <f t="shared" si="17"/>
        <v>6</v>
      </c>
      <c r="J277" s="7"/>
    </row>
    <row r="278" spans="1:10" x14ac:dyDescent="0.3">
      <c r="A278" s="2">
        <v>45790</v>
      </c>
      <c r="B278" t="s">
        <v>4</v>
      </c>
      <c r="C278" s="3">
        <v>7</v>
      </c>
      <c r="D278" s="3">
        <v>1</v>
      </c>
      <c r="E278" s="3" t="s">
        <v>227</v>
      </c>
      <c r="F278" s="7">
        <f>VLOOKUP(Prediction!B278,Data!$A$1:$F$7,2,)*C278*D278/1000</f>
        <v>1.61</v>
      </c>
      <c r="G278" s="7">
        <f>VLOOKUP(B278,Data!$A$1:$F$7,4,FALSE)*C278*D278/1000</f>
        <v>4.7039999999999997</v>
      </c>
      <c r="H278" s="7">
        <f>VLOOKUP(B278,Data!$A$1:$G$7,7,FALSE)*C278</f>
        <v>35000</v>
      </c>
      <c r="I278" s="7">
        <f t="shared" si="17"/>
        <v>7</v>
      </c>
      <c r="J278" s="7"/>
    </row>
    <row r="279" spans="1:10" x14ac:dyDescent="0.3">
      <c r="A279" s="2">
        <v>45790</v>
      </c>
      <c r="B279" t="s">
        <v>4</v>
      </c>
      <c r="C279" s="3">
        <v>7</v>
      </c>
      <c r="D279" s="3">
        <v>6</v>
      </c>
      <c r="E279" s="3" t="s">
        <v>191</v>
      </c>
      <c r="F279" s="7">
        <f>VLOOKUP(Prediction!B279,Data!$A$1:$F$7,2,)*C279*D279/1000</f>
        <v>9.66</v>
      </c>
      <c r="G279" s="7">
        <f>VLOOKUP(B279,Data!$A$1:$F$7,4,FALSE)*C279*D279/1000</f>
        <v>28.224</v>
      </c>
      <c r="H279" s="7">
        <f>VLOOKUP(B279,Data!$A$1:$G$7,7,FALSE)*C279</f>
        <v>35000</v>
      </c>
      <c r="I279" s="7">
        <f t="shared" si="17"/>
        <v>42</v>
      </c>
      <c r="J279" s="7"/>
    </row>
    <row r="280" spans="1:10" x14ac:dyDescent="0.3">
      <c r="A280" s="2">
        <v>45790</v>
      </c>
      <c r="B280" t="s">
        <v>4</v>
      </c>
      <c r="C280" s="3">
        <v>6.5</v>
      </c>
      <c r="D280" s="3">
        <v>1</v>
      </c>
      <c r="E280" s="3" t="s">
        <v>191</v>
      </c>
      <c r="F280" s="7">
        <f>VLOOKUP(Prediction!B280,Data!$A$1:$F$7,2,)*C280*D280/1000</f>
        <v>1.4950000000000001</v>
      </c>
      <c r="G280" s="7">
        <f>VLOOKUP(B280,Data!$A$1:$F$7,4,FALSE)*C280*D280/1000</f>
        <v>4.3680000000000003</v>
      </c>
      <c r="H280" s="7">
        <f>VLOOKUP(B280,Data!$A$1:$G$7,7,FALSE)*C280</f>
        <v>32500</v>
      </c>
      <c r="I280" s="7">
        <f t="shared" si="17"/>
        <v>6.5</v>
      </c>
      <c r="J280" s="7"/>
    </row>
    <row r="281" spans="1:10" x14ac:dyDescent="0.3">
      <c r="A281" s="2">
        <v>45790</v>
      </c>
      <c r="B281" t="s">
        <v>4</v>
      </c>
      <c r="C281" s="3">
        <v>5</v>
      </c>
      <c r="D281" s="3">
        <v>1</v>
      </c>
      <c r="E281" s="3" t="s">
        <v>227</v>
      </c>
      <c r="F281" s="7">
        <f>VLOOKUP(Prediction!B281,Data!$A$1:$F$7,2,)*C281*D281/1000</f>
        <v>1.1499999999999999</v>
      </c>
      <c r="G281" s="7">
        <f>VLOOKUP(B281,Data!$A$1:$F$7,4,FALSE)*C281*D281/1000</f>
        <v>3.36</v>
      </c>
      <c r="H281" s="7">
        <f>VLOOKUP(B281,Data!$A$1:$G$7,7,FALSE)*C281</f>
        <v>25000</v>
      </c>
      <c r="I281" s="7">
        <f t="shared" si="17"/>
        <v>5</v>
      </c>
      <c r="J281" s="7"/>
    </row>
    <row r="282" spans="1:10" x14ac:dyDescent="0.3">
      <c r="A282" s="2">
        <v>45790</v>
      </c>
      <c r="B282" t="s">
        <v>7</v>
      </c>
      <c r="C282" s="3">
        <v>6</v>
      </c>
      <c r="D282" s="3">
        <v>11</v>
      </c>
      <c r="E282" s="3" t="s">
        <v>236</v>
      </c>
      <c r="F282" s="7">
        <f>VLOOKUP(Prediction!B282,Data!$A$1:$F$7,2,)*C282*D282/1000</f>
        <v>16.5</v>
      </c>
      <c r="G282" s="7">
        <f>VLOOKUP(B282,Data!$A$1:$F$7,4,FALSE)*C282*D282/1000</f>
        <v>53.856000000000002</v>
      </c>
      <c r="H282" s="7">
        <f>VLOOKUP(B282,Data!$A$1:$G$7,7,FALSE)*C282</f>
        <v>31200</v>
      </c>
      <c r="I282" s="7">
        <f t="shared" si="17"/>
        <v>66</v>
      </c>
      <c r="J282" s="7"/>
    </row>
    <row r="283" spans="1:10" x14ac:dyDescent="0.3">
      <c r="A283" s="2">
        <v>45790</v>
      </c>
      <c r="B283" t="s">
        <v>7</v>
      </c>
      <c r="C283" s="3">
        <v>7</v>
      </c>
      <c r="D283" s="3">
        <v>2</v>
      </c>
      <c r="E283" s="3" t="s">
        <v>195</v>
      </c>
      <c r="F283" s="7">
        <f>VLOOKUP(Prediction!B283,Data!$A$1:$F$7,2,)*C283*D283/1000</f>
        <v>3.5</v>
      </c>
      <c r="G283" s="7">
        <f>VLOOKUP(B283,Data!$A$1:$F$7,4,FALSE)*C283*D283/1000</f>
        <v>11.423999999999999</v>
      </c>
      <c r="H283" s="7">
        <f>VLOOKUP(B283,Data!$A$1:$G$7,7,FALSE)*C283</f>
        <v>36400</v>
      </c>
      <c r="I283" s="7">
        <f t="shared" si="17"/>
        <v>14</v>
      </c>
      <c r="J283" s="7"/>
    </row>
    <row r="284" spans="1:10" x14ac:dyDescent="0.3">
      <c r="A284" s="2">
        <v>45790</v>
      </c>
      <c r="B284" t="s">
        <v>13</v>
      </c>
      <c r="C284" s="3">
        <v>6</v>
      </c>
      <c r="D284" s="3">
        <v>2</v>
      </c>
      <c r="E284" s="3" t="s">
        <v>195</v>
      </c>
      <c r="F284" s="7">
        <f>VLOOKUP(Prediction!B284,Data!$A$1:$F$7,2,)*C284*D284/1000</f>
        <v>3.12</v>
      </c>
      <c r="G284" s="7">
        <f>VLOOKUP(B284,Data!$A$1:$F$7,4,FALSE)*C284*D284/1000</f>
        <v>8.6039999999999992</v>
      </c>
      <c r="H284" s="7">
        <f>VLOOKUP(B284,Data!$A$1:$G$7,7,FALSE)*C284</f>
        <v>25800</v>
      </c>
      <c r="I284" s="7">
        <f t="shared" si="17"/>
        <v>12</v>
      </c>
      <c r="J284" s="7"/>
    </row>
    <row r="285" spans="1:10" x14ac:dyDescent="0.3">
      <c r="A285" s="2">
        <v>45790</v>
      </c>
      <c r="B285" t="s">
        <v>9</v>
      </c>
      <c r="C285" s="3">
        <v>7</v>
      </c>
      <c r="D285" s="3">
        <v>2</v>
      </c>
      <c r="E285" s="3" t="s">
        <v>203</v>
      </c>
      <c r="F285" s="7">
        <f>VLOOKUP(Prediction!B285,Data!$A$1:$F$7,2,)*C285*D285/1000</f>
        <v>4.4800000000000004</v>
      </c>
      <c r="G285" s="7">
        <f>VLOOKUP(B285,Data!$A$1:$F$7,4,FALSE)*C285*D285/1000</f>
        <v>8.7919999999999998</v>
      </c>
      <c r="H285" s="7">
        <f>VLOOKUP(B285,Data!$A$1:$G$7,7,FALSE)*C285</f>
        <v>32900</v>
      </c>
      <c r="I285" s="7">
        <f t="shared" si="17"/>
        <v>14</v>
      </c>
      <c r="J285" s="7"/>
    </row>
    <row r="286" spans="1:10" x14ac:dyDescent="0.3">
      <c r="A286" s="2">
        <v>45791</v>
      </c>
      <c r="B286" t="s">
        <v>7</v>
      </c>
      <c r="C286" s="3">
        <v>7</v>
      </c>
      <c r="D286" s="3">
        <v>1</v>
      </c>
      <c r="E286" s="3" t="s">
        <v>236</v>
      </c>
      <c r="F286" s="7">
        <f>VLOOKUP(Prediction!B286,Data!$A$1:$F$7,2,)*C286*D286/1000</f>
        <v>1.75</v>
      </c>
      <c r="G286" s="7">
        <f>VLOOKUP(B286,Data!$A$1:$F$7,4,FALSE)*C286*D286/1000</f>
        <v>5.7119999999999997</v>
      </c>
      <c r="H286" s="7">
        <f>VLOOKUP(B286,Data!$A$1:$G$7,7,FALSE)*C286</f>
        <v>36400</v>
      </c>
      <c r="I286" s="7">
        <f t="shared" si="17"/>
        <v>7</v>
      </c>
      <c r="J286" s="7"/>
    </row>
    <row r="287" spans="1:10" x14ac:dyDescent="0.3">
      <c r="A287" s="2">
        <v>45791</v>
      </c>
      <c r="B287" t="s">
        <v>7</v>
      </c>
      <c r="C287" s="3">
        <v>6</v>
      </c>
      <c r="D287" s="3">
        <v>1</v>
      </c>
      <c r="E287" s="3" t="s">
        <v>236</v>
      </c>
      <c r="F287" s="7">
        <f>VLOOKUP(Prediction!B287,Data!$A$1:$F$7,2,)*C287*D287/1000</f>
        <v>1.5</v>
      </c>
      <c r="G287" s="7">
        <f>VLOOKUP(B287,Data!$A$1:$F$7,4,FALSE)*C287*D287/1000</f>
        <v>4.8959999999999999</v>
      </c>
      <c r="H287" s="7">
        <f>VLOOKUP(B287,Data!$A$1:$G$7,7,FALSE)*C287</f>
        <v>31200</v>
      </c>
      <c r="I287" s="7">
        <f t="shared" si="17"/>
        <v>6</v>
      </c>
      <c r="J287" s="7"/>
    </row>
    <row r="288" spans="1:10" x14ac:dyDescent="0.3">
      <c r="A288" s="2">
        <v>45791</v>
      </c>
      <c r="B288" t="s">
        <v>7</v>
      </c>
      <c r="C288" s="3">
        <v>6</v>
      </c>
      <c r="D288" s="3">
        <v>4</v>
      </c>
      <c r="E288" s="3" t="s">
        <v>195</v>
      </c>
      <c r="F288" s="7">
        <f>VLOOKUP(Prediction!B288,Data!$A$1:$F$7,2,)*C288*D288/1000</f>
        <v>6</v>
      </c>
      <c r="G288" s="7">
        <f>VLOOKUP(B288,Data!$A$1:$F$7,4,FALSE)*C288*D288/1000</f>
        <v>19.584</v>
      </c>
      <c r="H288" s="7">
        <f>VLOOKUP(B288,Data!$A$1:$G$7,7,FALSE)*C288</f>
        <v>31200</v>
      </c>
      <c r="I288" s="7">
        <f t="shared" si="17"/>
        <v>24</v>
      </c>
      <c r="J288" s="7"/>
    </row>
    <row r="289" spans="1:10" x14ac:dyDescent="0.3">
      <c r="A289" s="2">
        <v>45791</v>
      </c>
      <c r="B289" t="s">
        <v>9</v>
      </c>
      <c r="C289" s="3">
        <v>5</v>
      </c>
      <c r="D289" s="3">
        <v>1</v>
      </c>
      <c r="E289" s="3" t="s">
        <v>211</v>
      </c>
      <c r="F289" s="7">
        <f>VLOOKUP(Prediction!B289,Data!$A$1:$F$7,2,)*C289*D289/1000</f>
        <v>1.6</v>
      </c>
      <c r="G289" s="7">
        <f>VLOOKUP(B289,Data!$A$1:$F$7,4,FALSE)*C289*D289/1000</f>
        <v>3.14</v>
      </c>
      <c r="H289" s="7">
        <f>VLOOKUP(B289,Data!$A$1:$G$7,7,FALSE)*C289</f>
        <v>23500</v>
      </c>
      <c r="I289" s="7">
        <f t="shared" si="17"/>
        <v>5</v>
      </c>
      <c r="J289" s="7"/>
    </row>
    <row r="290" spans="1:10" x14ac:dyDescent="0.3">
      <c r="A290" s="2">
        <v>45791</v>
      </c>
      <c r="B290" t="s">
        <v>9</v>
      </c>
      <c r="C290" s="3">
        <v>1.5</v>
      </c>
      <c r="D290" s="3">
        <v>1</v>
      </c>
      <c r="E290" s="3" t="s">
        <v>211</v>
      </c>
      <c r="F290" s="7">
        <f>VLOOKUP(Prediction!B290,Data!$A$1:$F$7,2,)*C290*D290/1000</f>
        <v>0.48</v>
      </c>
      <c r="G290" s="7">
        <f>VLOOKUP(B290,Data!$A$1:$F$7,4,FALSE)*C290*D290/1000</f>
        <v>0.94199999999999995</v>
      </c>
      <c r="H290" s="7">
        <f>VLOOKUP(B290,Data!$A$1:$G$7,7,FALSE)*C290</f>
        <v>7050</v>
      </c>
      <c r="I290" s="7">
        <f t="shared" si="17"/>
        <v>1.5</v>
      </c>
      <c r="J290" s="7"/>
    </row>
    <row r="291" spans="1:10" x14ac:dyDescent="0.3">
      <c r="A291" s="2">
        <v>45792</v>
      </c>
      <c r="B291" t="s">
        <v>7</v>
      </c>
      <c r="C291" s="3">
        <v>6</v>
      </c>
      <c r="D291" s="3">
        <v>6</v>
      </c>
      <c r="E291" s="3" t="s">
        <v>195</v>
      </c>
      <c r="F291" s="7">
        <f>VLOOKUP(Prediction!B291,Data!$A$1:$F$7,2,)*C291*D291/1000</f>
        <v>9</v>
      </c>
      <c r="G291" s="7">
        <f>VLOOKUP(B291,Data!$A$1:$F$7,4,FALSE)*C291*D291/1000</f>
        <v>29.376000000000001</v>
      </c>
      <c r="H291" s="7">
        <f>VLOOKUP(B291,Data!$A$1:$G$7,7,FALSE)*C291</f>
        <v>31200</v>
      </c>
      <c r="I291" s="7">
        <f t="shared" si="17"/>
        <v>36</v>
      </c>
      <c r="J291" s="7"/>
    </row>
    <row r="292" spans="1:10" x14ac:dyDescent="0.3">
      <c r="A292" s="2">
        <v>45793</v>
      </c>
      <c r="B292" t="s">
        <v>7</v>
      </c>
      <c r="C292" s="3">
        <v>6</v>
      </c>
      <c r="D292" s="3">
        <v>1</v>
      </c>
      <c r="E292" s="3" t="s">
        <v>195</v>
      </c>
      <c r="F292" s="7">
        <f>VLOOKUP(Prediction!B292,Data!$A$1:$F$7,2,)*C292*D292/1000</f>
        <v>1.5</v>
      </c>
      <c r="G292" s="7">
        <f>VLOOKUP(B292,Data!$A$1:$F$7,4,FALSE)*C292*D292/1000</f>
        <v>4.8959999999999999</v>
      </c>
      <c r="H292" s="7">
        <f>VLOOKUP(B292,Data!$A$1:$G$7,7,FALSE)*C292</f>
        <v>31200</v>
      </c>
      <c r="I292" s="7">
        <f t="shared" si="17"/>
        <v>6</v>
      </c>
      <c r="J292" s="7"/>
    </row>
    <row r="293" spans="1:10" x14ac:dyDescent="0.3">
      <c r="A293" s="2">
        <v>45793</v>
      </c>
      <c r="B293" t="s">
        <v>7</v>
      </c>
      <c r="C293" s="3">
        <v>5</v>
      </c>
      <c r="D293" s="3">
        <v>2</v>
      </c>
      <c r="E293" s="3" t="s">
        <v>195</v>
      </c>
      <c r="F293" s="7">
        <f>VLOOKUP(Prediction!B293,Data!$A$1:$F$7,2,)*C293*D293/1000</f>
        <v>2.5</v>
      </c>
      <c r="G293" s="7">
        <f>VLOOKUP(B293,Data!$A$1:$F$7,4,FALSE)*C293*D293/1000</f>
        <v>8.16</v>
      </c>
      <c r="H293" s="7">
        <f>VLOOKUP(B293,Data!$A$1:$G$7,7,FALSE)*C293</f>
        <v>26000</v>
      </c>
      <c r="I293" s="7">
        <f t="shared" si="17"/>
        <v>10</v>
      </c>
      <c r="J293" s="7"/>
    </row>
    <row r="294" spans="1:10" x14ac:dyDescent="0.3">
      <c r="A294" s="2">
        <v>45793</v>
      </c>
      <c r="B294" t="s">
        <v>4</v>
      </c>
      <c r="C294" s="3">
        <v>7</v>
      </c>
      <c r="D294" s="3">
        <v>2</v>
      </c>
      <c r="E294" s="3" t="s">
        <v>236</v>
      </c>
      <c r="F294" s="7">
        <f>VLOOKUP(Prediction!B294,Data!$A$1:$F$7,2,)*C294*D294/1000</f>
        <v>3.22</v>
      </c>
      <c r="G294" s="7">
        <f>VLOOKUP(B294,Data!$A$1:$F$7,4,FALSE)*C294*D294/1000</f>
        <v>9.4079999999999995</v>
      </c>
      <c r="H294" s="7">
        <f>VLOOKUP(B294,Data!$A$1:$G$7,7,FALSE)*C294</f>
        <v>35000</v>
      </c>
      <c r="I294" s="7">
        <f t="shared" si="17"/>
        <v>14</v>
      </c>
      <c r="J294" s="7"/>
    </row>
    <row r="295" spans="1:10" x14ac:dyDescent="0.3">
      <c r="A295" s="2">
        <v>45793</v>
      </c>
      <c r="B295" t="s">
        <v>4</v>
      </c>
      <c r="C295" s="3">
        <v>6</v>
      </c>
      <c r="D295" s="3">
        <v>3</v>
      </c>
      <c r="E295" s="3" t="s">
        <v>236</v>
      </c>
      <c r="F295" s="7">
        <f>VLOOKUP(Prediction!B295,Data!$A$1:$F$7,2,)*C295*D295/1000</f>
        <v>4.1399999999999997</v>
      </c>
      <c r="G295" s="7">
        <f>VLOOKUP(B295,Data!$A$1:$F$7,4,FALSE)*C295*D295/1000</f>
        <v>12.096</v>
      </c>
      <c r="H295" s="7">
        <f>VLOOKUP(B295,Data!$A$1:$G$7,7,FALSE)*C295</f>
        <v>30000</v>
      </c>
      <c r="I295" s="7">
        <f t="shared" si="17"/>
        <v>18</v>
      </c>
      <c r="J295" s="7"/>
    </row>
    <row r="296" spans="1:10" x14ac:dyDescent="0.3">
      <c r="A296" s="2">
        <v>45794</v>
      </c>
      <c r="B296" t="s">
        <v>7</v>
      </c>
      <c r="C296" s="3">
        <v>6</v>
      </c>
      <c r="D296" s="3">
        <v>12</v>
      </c>
      <c r="E296" s="3" t="s">
        <v>195</v>
      </c>
      <c r="F296" s="7">
        <f>VLOOKUP(Prediction!B296,Data!$A$1:$F$7,2,)*C296*D296/1000</f>
        <v>18</v>
      </c>
      <c r="G296" s="7">
        <f>VLOOKUP(B296,Data!$A$1:$F$7,4,FALSE)*C296*D296/1000</f>
        <v>58.752000000000002</v>
      </c>
      <c r="H296" s="7">
        <f>VLOOKUP(B296,Data!$A$1:$G$7,7,FALSE)*C296</f>
        <v>31200</v>
      </c>
      <c r="I296" s="7">
        <f t="shared" si="17"/>
        <v>72</v>
      </c>
      <c r="J296" s="7"/>
    </row>
    <row r="297" spans="1:10" x14ac:dyDescent="0.3">
      <c r="A297" s="2">
        <v>45794</v>
      </c>
      <c r="B297" t="s">
        <v>4</v>
      </c>
      <c r="C297" s="3">
        <v>7</v>
      </c>
      <c r="D297" s="3">
        <v>3</v>
      </c>
      <c r="E297" s="3" t="s">
        <v>194</v>
      </c>
      <c r="F297" s="7">
        <f>VLOOKUP(Prediction!B297,Data!$A$1:$F$7,2,)*C297*D297/1000</f>
        <v>4.83</v>
      </c>
      <c r="G297" s="7">
        <f>VLOOKUP(B297,Data!$A$1:$F$7,4,FALSE)*C297*D297/1000</f>
        <v>14.112</v>
      </c>
      <c r="H297" s="7">
        <f>VLOOKUP(B297,Data!$A$1:$G$7,7,FALSE)*C297</f>
        <v>35000</v>
      </c>
      <c r="I297" s="7">
        <f t="shared" si="17"/>
        <v>21</v>
      </c>
      <c r="J297" s="7"/>
    </row>
    <row r="298" spans="1:10" x14ac:dyDescent="0.3">
      <c r="A298" s="2">
        <v>45794</v>
      </c>
      <c r="B298" t="s">
        <v>4</v>
      </c>
      <c r="C298" s="3">
        <v>4</v>
      </c>
      <c r="D298" s="3">
        <v>1</v>
      </c>
      <c r="E298" s="3" t="s">
        <v>194</v>
      </c>
      <c r="F298" s="7">
        <f>VLOOKUP(Prediction!B298,Data!$A$1:$F$7,2,)*C298*D298/1000</f>
        <v>0.92</v>
      </c>
      <c r="G298" s="7">
        <f>VLOOKUP(B298,Data!$A$1:$F$7,4,FALSE)*C298*D298/1000</f>
        <v>2.6880000000000002</v>
      </c>
      <c r="H298" s="7">
        <f>VLOOKUP(B298,Data!$A$1:$G$7,7,FALSE)*C298</f>
        <v>20000</v>
      </c>
      <c r="I298" s="7">
        <f t="shared" si="17"/>
        <v>4</v>
      </c>
      <c r="J298" s="7"/>
    </row>
    <row r="299" spans="1:10" x14ac:dyDescent="0.3">
      <c r="A299" s="2">
        <v>45794</v>
      </c>
      <c r="B299" t="s">
        <v>4</v>
      </c>
      <c r="C299" s="3">
        <v>1</v>
      </c>
      <c r="D299" s="3">
        <v>1</v>
      </c>
      <c r="E299" s="3" t="s">
        <v>194</v>
      </c>
      <c r="F299" s="7">
        <f>VLOOKUP(Prediction!B299,Data!$A$1:$F$7,2,)*C299*D299/1000</f>
        <v>0.23</v>
      </c>
      <c r="G299" s="7">
        <f>VLOOKUP(B299,Data!$A$1:$F$7,4,FALSE)*C299*D299/1000</f>
        <v>0.67200000000000004</v>
      </c>
      <c r="H299" s="7">
        <f>VLOOKUP(B299,Data!$A$1:$G$7,7,FALSE)*C299</f>
        <v>5000</v>
      </c>
      <c r="I299" s="7">
        <f t="shared" si="17"/>
        <v>1</v>
      </c>
      <c r="J299" s="7"/>
    </row>
    <row r="300" spans="1:10" x14ac:dyDescent="0.3">
      <c r="A300" s="2">
        <v>45794</v>
      </c>
      <c r="B300" t="s">
        <v>7</v>
      </c>
      <c r="C300" s="3">
        <v>6</v>
      </c>
      <c r="D300" s="3">
        <v>2</v>
      </c>
      <c r="E300" s="3" t="s">
        <v>212</v>
      </c>
      <c r="F300" s="7">
        <f>VLOOKUP(Prediction!B300,Data!$A$1:$F$7,2,)*C300*D300/1000</f>
        <v>3</v>
      </c>
      <c r="G300" s="7">
        <f>VLOOKUP(B300,Data!$A$1:$F$7,4,FALSE)*C300*D300/1000</f>
        <v>9.7919999999999998</v>
      </c>
      <c r="H300" s="7">
        <f>VLOOKUP(B300,Data!$A$1:$G$7,7,FALSE)*C300</f>
        <v>31200</v>
      </c>
      <c r="I300" s="7">
        <f t="shared" si="17"/>
        <v>12</v>
      </c>
      <c r="J300" s="7"/>
    </row>
    <row r="301" spans="1:10" x14ac:dyDescent="0.3">
      <c r="A301" s="2">
        <v>45795</v>
      </c>
      <c r="B301" t="s">
        <v>7</v>
      </c>
      <c r="C301" s="3">
        <v>5</v>
      </c>
      <c r="D301" s="3">
        <v>2</v>
      </c>
      <c r="E301" s="3" t="s">
        <v>195</v>
      </c>
      <c r="F301" s="7">
        <f>VLOOKUP(Prediction!B301,Data!$A$1:$F$7,2,)*C301*D301/1000</f>
        <v>2.5</v>
      </c>
      <c r="G301" s="7">
        <f>VLOOKUP(B301,Data!$A$1:$F$7,4,FALSE)*C301*D301/1000</f>
        <v>8.16</v>
      </c>
      <c r="H301" s="7">
        <f>VLOOKUP(B301,Data!$A$1:$G$7,7,FALSE)*C301</f>
        <v>26000</v>
      </c>
      <c r="I301" s="7">
        <f t="shared" si="17"/>
        <v>10</v>
      </c>
      <c r="J301" s="7"/>
    </row>
    <row r="302" spans="1:10" x14ac:dyDescent="0.3">
      <c r="A302" s="2">
        <v>45795</v>
      </c>
      <c r="B302" t="s">
        <v>7</v>
      </c>
      <c r="C302" s="3">
        <v>6</v>
      </c>
      <c r="D302" s="3">
        <v>3</v>
      </c>
      <c r="E302" s="3" t="s">
        <v>195</v>
      </c>
      <c r="F302" s="7">
        <f>VLOOKUP(Prediction!B302,Data!$A$1:$F$7,2,)*C302*D302/1000</f>
        <v>4.5</v>
      </c>
      <c r="G302" s="7">
        <f>VLOOKUP(B302,Data!$A$1:$F$7,4,FALSE)*C302*D302/1000</f>
        <v>14.688000000000001</v>
      </c>
      <c r="H302" s="7">
        <f>VLOOKUP(B302,Data!$A$1:$G$7,7,FALSE)*C302</f>
        <v>31200</v>
      </c>
      <c r="I302" s="7">
        <f t="shared" si="17"/>
        <v>18</v>
      </c>
      <c r="J302" s="7"/>
    </row>
    <row r="303" spans="1:10" x14ac:dyDescent="0.3">
      <c r="A303" s="2">
        <v>45797</v>
      </c>
      <c r="B303" t="s">
        <v>7</v>
      </c>
      <c r="C303" s="3">
        <v>6</v>
      </c>
      <c r="D303" s="3">
        <v>4</v>
      </c>
      <c r="E303" s="3" t="s">
        <v>195</v>
      </c>
      <c r="F303" s="7">
        <f>VLOOKUP(Prediction!B303,Data!$A$1:$F$7,2,)*C303*D303/1000</f>
        <v>6</v>
      </c>
      <c r="G303" s="7">
        <f>VLOOKUP(B303,Data!$A$1:$F$7,4,FALSE)*C303*D303/1000</f>
        <v>19.584</v>
      </c>
      <c r="H303" s="7">
        <f>VLOOKUP(B303,Data!$A$1:$G$7,7,FALSE)*C303</f>
        <v>31200</v>
      </c>
      <c r="I303" s="7">
        <f t="shared" si="17"/>
        <v>24</v>
      </c>
      <c r="J303" s="7"/>
    </row>
    <row r="304" spans="1:10" x14ac:dyDescent="0.3">
      <c r="A304" s="2">
        <v>45797</v>
      </c>
      <c r="B304" t="s">
        <v>7</v>
      </c>
      <c r="C304" s="3">
        <v>5.5</v>
      </c>
      <c r="D304" s="3">
        <v>1</v>
      </c>
      <c r="E304" s="3" t="s">
        <v>195</v>
      </c>
      <c r="F304" s="7">
        <f>VLOOKUP(Prediction!B304,Data!$A$1:$F$7,2,)*C304*D304/1000</f>
        <v>1.375</v>
      </c>
      <c r="G304" s="7">
        <f>VLOOKUP(B304,Data!$A$1:$F$7,4,FALSE)*C304*D304/1000</f>
        <v>4.4880000000000004</v>
      </c>
      <c r="H304" s="7">
        <f>VLOOKUP(B304,Data!$A$1:$G$7,7,FALSE)*C304</f>
        <v>28600</v>
      </c>
      <c r="I304" s="7">
        <f t="shared" si="17"/>
        <v>5.5</v>
      </c>
      <c r="J304" s="7"/>
    </row>
    <row r="305" spans="1:10" x14ac:dyDescent="0.3">
      <c r="A305" s="2">
        <v>45797</v>
      </c>
      <c r="B305" t="s">
        <v>4</v>
      </c>
      <c r="C305" s="3">
        <v>7</v>
      </c>
      <c r="D305" s="3">
        <v>5</v>
      </c>
      <c r="E305" s="3" t="s">
        <v>245</v>
      </c>
      <c r="F305" s="7">
        <f>VLOOKUP(Prediction!B305,Data!$A$1:$F$7,2,)*C305*D305/1000</f>
        <v>8.0500000000000007</v>
      </c>
      <c r="G305" s="7">
        <f>VLOOKUP(B305,Data!$A$1:$F$7,4,FALSE)*C305*D305/1000</f>
        <v>23.52</v>
      </c>
      <c r="H305" s="7">
        <f>VLOOKUP(B305,Data!$A$1:$G$7,7,FALSE)*C305</f>
        <v>35000</v>
      </c>
      <c r="I305" s="7">
        <f t="shared" si="17"/>
        <v>35</v>
      </c>
      <c r="J305" s="7"/>
    </row>
    <row r="306" spans="1:10" x14ac:dyDescent="0.3">
      <c r="A306" s="2">
        <v>45798</v>
      </c>
      <c r="B306" t="s">
        <v>7</v>
      </c>
      <c r="C306" s="3">
        <v>6</v>
      </c>
      <c r="D306" s="3">
        <v>11</v>
      </c>
      <c r="E306" s="3" t="s">
        <v>237</v>
      </c>
      <c r="F306" s="7">
        <f>VLOOKUP(Prediction!B306,Data!$A$1:$F$7,2,)*C306*D306/1000</f>
        <v>16.5</v>
      </c>
      <c r="G306" s="7">
        <f>VLOOKUP(B306,Data!$A$1:$F$7,4,FALSE)*C306*D306/1000</f>
        <v>53.856000000000002</v>
      </c>
      <c r="H306" s="7">
        <f>VLOOKUP(B306,Data!$A$1:$G$7,7,FALSE)*C306</f>
        <v>31200</v>
      </c>
      <c r="I306" s="7">
        <f t="shared" si="17"/>
        <v>66</v>
      </c>
      <c r="J306" s="7"/>
    </row>
    <row r="307" spans="1:10" x14ac:dyDescent="0.3">
      <c r="A307" s="2">
        <v>45799</v>
      </c>
      <c r="B307" t="s">
        <v>4</v>
      </c>
      <c r="C307" s="3">
        <v>7</v>
      </c>
      <c r="D307" s="3">
        <v>9</v>
      </c>
      <c r="E307" s="3" t="s">
        <v>213</v>
      </c>
      <c r="F307" s="7">
        <f>VLOOKUP(Prediction!B307,Data!$A$1:$F$7,2,)*C307*D307/1000</f>
        <v>14.49</v>
      </c>
      <c r="G307" s="7">
        <f>VLOOKUP(B307,Data!$A$1:$F$7,4,FALSE)*C307*D307/1000</f>
        <v>42.335999999999999</v>
      </c>
      <c r="H307" s="7">
        <f>VLOOKUP(B307,Data!$A$1:$G$7,7,FALSE)*C307</f>
        <v>35000</v>
      </c>
      <c r="I307" s="7">
        <f t="shared" si="17"/>
        <v>63</v>
      </c>
      <c r="J307" s="7"/>
    </row>
    <row r="308" spans="1:10" x14ac:dyDescent="0.3">
      <c r="A308" s="2">
        <v>45799</v>
      </c>
      <c r="B308" t="s">
        <v>4</v>
      </c>
      <c r="C308" s="3">
        <v>4</v>
      </c>
      <c r="D308" s="3">
        <v>1</v>
      </c>
      <c r="E308" s="3" t="s">
        <v>213</v>
      </c>
      <c r="F308" s="7">
        <f>VLOOKUP(Prediction!B308,Data!$A$1:$F$7,2,)*C308*D308/1000</f>
        <v>0.92</v>
      </c>
      <c r="G308" s="7">
        <f>VLOOKUP(B308,Data!$A$1:$F$7,4,FALSE)*C308*D308/1000</f>
        <v>2.6880000000000002</v>
      </c>
      <c r="H308" s="7">
        <f>VLOOKUP(B308,Data!$A$1:$G$7,7,FALSE)*C308</f>
        <v>20000</v>
      </c>
      <c r="I308" s="7">
        <f t="shared" si="17"/>
        <v>4</v>
      </c>
      <c r="J308" s="7"/>
    </row>
    <row r="309" spans="1:10" x14ac:dyDescent="0.3">
      <c r="A309" s="2">
        <v>45799</v>
      </c>
      <c r="B309" t="s">
        <v>4</v>
      </c>
      <c r="C309" s="3">
        <v>6</v>
      </c>
      <c r="D309" s="3">
        <v>1</v>
      </c>
      <c r="E309" s="3" t="s">
        <v>213</v>
      </c>
      <c r="F309" s="7">
        <f>VLOOKUP(Prediction!B309,Data!$A$1:$F$7,2,)*C309*D309/1000</f>
        <v>1.38</v>
      </c>
      <c r="G309" s="7">
        <f>VLOOKUP(B309,Data!$A$1:$F$7,4,FALSE)*C309*D309/1000</f>
        <v>4.032</v>
      </c>
      <c r="H309" s="7">
        <f>VLOOKUP(B309,Data!$A$1:$G$7,7,FALSE)*C309</f>
        <v>30000</v>
      </c>
      <c r="I309" s="7">
        <f t="shared" si="17"/>
        <v>6</v>
      </c>
      <c r="J309" s="7"/>
    </row>
    <row r="310" spans="1:10" x14ac:dyDescent="0.3">
      <c r="A310" s="2">
        <v>45799</v>
      </c>
      <c r="B310" t="s">
        <v>4</v>
      </c>
      <c r="C310" s="3">
        <v>4.75</v>
      </c>
      <c r="D310" s="3">
        <v>1</v>
      </c>
      <c r="E310" s="3" t="s">
        <v>213</v>
      </c>
      <c r="F310" s="7">
        <f>VLOOKUP(Prediction!B310,Data!$A$1:$F$7,2,)*C310*D310/1000</f>
        <v>1.0925</v>
      </c>
      <c r="G310" s="7">
        <f>VLOOKUP(B310,Data!$A$1:$F$7,4,FALSE)*C310*D310/1000</f>
        <v>3.1920000000000002</v>
      </c>
      <c r="H310" s="7">
        <f>VLOOKUP(B310,Data!$A$1:$G$7,7,FALSE)*C310</f>
        <v>23750</v>
      </c>
      <c r="I310" s="7">
        <f t="shared" si="17"/>
        <v>4.75</v>
      </c>
      <c r="J310" s="7"/>
    </row>
    <row r="311" spans="1:10" x14ac:dyDescent="0.3">
      <c r="A311" s="2">
        <v>45799</v>
      </c>
      <c r="B311" t="s">
        <v>13</v>
      </c>
      <c r="C311" s="3">
        <v>7</v>
      </c>
      <c r="D311" s="3">
        <v>3</v>
      </c>
      <c r="E311" s="3" t="s">
        <v>235</v>
      </c>
      <c r="F311" s="7">
        <f>VLOOKUP(Prediction!B311,Data!$A$1:$F$7,2,)*C311*D311/1000</f>
        <v>5.46</v>
      </c>
      <c r="G311" s="7">
        <f>VLOOKUP(B311,Data!$A$1:$F$7,4,FALSE)*C311*D311/1000</f>
        <v>15.057</v>
      </c>
      <c r="H311" s="7">
        <f>VLOOKUP(B311,Data!$A$1:$G$7,7,FALSE)*C311</f>
        <v>30100</v>
      </c>
      <c r="I311" s="7">
        <f t="shared" si="17"/>
        <v>21</v>
      </c>
      <c r="J311" s="7"/>
    </row>
    <row r="312" spans="1:10" x14ac:dyDescent="0.3">
      <c r="A312" s="2">
        <v>45799</v>
      </c>
      <c r="B312" t="s">
        <v>13</v>
      </c>
      <c r="C312" s="3">
        <v>6</v>
      </c>
      <c r="D312" s="3">
        <v>1</v>
      </c>
      <c r="E312" s="3" t="s">
        <v>235</v>
      </c>
      <c r="F312" s="7">
        <f>VLOOKUP(Prediction!B312,Data!$A$1:$F$7,2,)*C312*D312/1000</f>
        <v>1.56</v>
      </c>
      <c r="G312" s="7">
        <f>VLOOKUP(B312,Data!$A$1:$F$7,4,FALSE)*C312*D312/1000</f>
        <v>4.3019999999999996</v>
      </c>
      <c r="H312" s="7">
        <f>VLOOKUP(B312,Data!$A$1:$G$7,7,FALSE)*C312</f>
        <v>25800</v>
      </c>
      <c r="I312" s="7">
        <f t="shared" si="17"/>
        <v>6</v>
      </c>
      <c r="J312" s="7"/>
    </row>
    <row r="313" spans="1:10" x14ac:dyDescent="0.3">
      <c r="A313" s="2">
        <v>45800</v>
      </c>
      <c r="B313" t="s">
        <v>7</v>
      </c>
      <c r="C313" s="3">
        <v>7</v>
      </c>
      <c r="D313" s="3">
        <v>9</v>
      </c>
      <c r="E313" s="3" t="s">
        <v>237</v>
      </c>
      <c r="F313" s="7">
        <f>VLOOKUP(Prediction!B313,Data!$A$1:$F$7,2,)*C313*D313/1000</f>
        <v>15.75</v>
      </c>
      <c r="G313" s="7">
        <f>VLOOKUP(B313,Data!$A$1:$F$7,4,FALSE)*C313*D313/1000</f>
        <v>51.408000000000001</v>
      </c>
      <c r="H313" s="7">
        <f>VLOOKUP(B313,Data!$A$1:$G$7,7,FALSE)*C313</f>
        <v>36400</v>
      </c>
      <c r="I313" s="7">
        <f t="shared" si="17"/>
        <v>63</v>
      </c>
      <c r="J313" s="7"/>
    </row>
    <row r="314" spans="1:10" x14ac:dyDescent="0.3">
      <c r="A314" s="2">
        <v>45800</v>
      </c>
      <c r="B314" t="s">
        <v>7</v>
      </c>
      <c r="C314" s="3">
        <v>4</v>
      </c>
      <c r="D314" s="3">
        <v>2</v>
      </c>
      <c r="E314" s="3" t="s">
        <v>237</v>
      </c>
      <c r="F314" s="7">
        <f>VLOOKUP(Prediction!B314,Data!$A$1:$F$7,2,)*C314*D314/1000</f>
        <v>2</v>
      </c>
      <c r="G314" s="7">
        <f>VLOOKUP(B314,Data!$A$1:$F$7,4,FALSE)*C314*D314/1000</f>
        <v>6.5279999999999996</v>
      </c>
      <c r="H314" s="7">
        <f>VLOOKUP(B314,Data!$A$1:$G$7,7,FALSE)*C314</f>
        <v>20800</v>
      </c>
      <c r="I314" s="7">
        <f t="shared" si="17"/>
        <v>8</v>
      </c>
      <c r="J314" s="7"/>
    </row>
    <row r="315" spans="1:10" x14ac:dyDescent="0.3">
      <c r="A315" s="2">
        <v>45800</v>
      </c>
      <c r="B315" t="s">
        <v>13</v>
      </c>
      <c r="C315" s="3">
        <v>6</v>
      </c>
      <c r="D315" s="3">
        <v>2</v>
      </c>
      <c r="E315" s="3" t="s">
        <v>235</v>
      </c>
      <c r="F315" s="7">
        <f>VLOOKUP(Prediction!B315,Data!$A$1:$F$7,2,)*C315*D315/1000</f>
        <v>3.12</v>
      </c>
      <c r="G315" s="7">
        <f>VLOOKUP(B315,Data!$A$1:$F$7,4,FALSE)*C315*D315/1000</f>
        <v>8.6039999999999992</v>
      </c>
      <c r="H315" s="7">
        <f>VLOOKUP(B315,Data!$A$1:$G$7,7,FALSE)*C315</f>
        <v>25800</v>
      </c>
      <c r="I315" s="7">
        <f t="shared" si="17"/>
        <v>12</v>
      </c>
      <c r="J315" s="7"/>
    </row>
    <row r="316" spans="1:10" x14ac:dyDescent="0.3">
      <c r="A316" s="2">
        <v>45800</v>
      </c>
      <c r="B316" t="s">
        <v>13</v>
      </c>
      <c r="C316" s="3">
        <v>3</v>
      </c>
      <c r="D316" s="3">
        <v>1</v>
      </c>
      <c r="E316" s="3" t="s">
        <v>235</v>
      </c>
      <c r="F316" s="7">
        <f>VLOOKUP(Prediction!B316,Data!$A$1:$F$7,2,)*C316*D316/1000</f>
        <v>0.78</v>
      </c>
      <c r="G316" s="7">
        <f>VLOOKUP(B316,Data!$A$1:$F$7,4,FALSE)*C316*D316/1000</f>
        <v>2.1509999999999998</v>
      </c>
      <c r="H316" s="7">
        <f>VLOOKUP(B316,Data!$A$1:$G$7,7,FALSE)*C316</f>
        <v>12900</v>
      </c>
      <c r="I316" s="7">
        <f t="shared" si="17"/>
        <v>3</v>
      </c>
      <c r="J316" s="7"/>
    </row>
    <row r="317" spans="1:10" x14ac:dyDescent="0.3">
      <c r="A317" s="2">
        <v>45801</v>
      </c>
      <c r="B317" t="s">
        <v>7</v>
      </c>
      <c r="C317" s="3">
        <v>6</v>
      </c>
      <c r="D317" s="3">
        <v>2</v>
      </c>
      <c r="E317" s="3" t="s">
        <v>195</v>
      </c>
      <c r="F317" s="7">
        <f>VLOOKUP(Prediction!B317,Data!$A$1:$F$7,2,)*C317*D317/1000</f>
        <v>3</v>
      </c>
      <c r="G317" s="7">
        <f>VLOOKUP(B317,Data!$A$1:$F$7,4,FALSE)*C317*D317/1000</f>
        <v>9.7919999999999998</v>
      </c>
      <c r="H317" s="7">
        <f>VLOOKUP(B317,Data!$A$1:$G$7,7,FALSE)*C317</f>
        <v>31200</v>
      </c>
      <c r="I317" s="7">
        <f t="shared" si="17"/>
        <v>12</v>
      </c>
      <c r="J317" s="7"/>
    </row>
    <row r="318" spans="1:10" x14ac:dyDescent="0.3">
      <c r="A318" s="2">
        <v>45801</v>
      </c>
      <c r="B318" t="s">
        <v>13</v>
      </c>
      <c r="C318" s="3">
        <v>3</v>
      </c>
      <c r="D318" s="3">
        <v>1</v>
      </c>
      <c r="E318" s="3" t="s">
        <v>195</v>
      </c>
      <c r="F318" s="7">
        <f>VLOOKUP(Prediction!B318,Data!$A$1:$F$7,2,)*C318*D318/1000</f>
        <v>0.78</v>
      </c>
      <c r="G318" s="7">
        <f>VLOOKUP(B318,Data!$A$1:$F$7,4,FALSE)*C318*D318/1000</f>
        <v>2.1509999999999998</v>
      </c>
      <c r="H318" s="7">
        <f>VLOOKUP(B318,Data!$A$1:$G$7,7,FALSE)*C318</f>
        <v>12900</v>
      </c>
      <c r="I318" s="7">
        <f t="shared" si="17"/>
        <v>3</v>
      </c>
      <c r="J318" s="7"/>
    </row>
    <row r="319" spans="1:10" x14ac:dyDescent="0.3">
      <c r="A319" s="2">
        <v>45801</v>
      </c>
      <c r="B319" t="s">
        <v>9</v>
      </c>
      <c r="C319" s="3">
        <v>7</v>
      </c>
      <c r="D319" s="3">
        <v>3</v>
      </c>
      <c r="E319" s="3" t="s">
        <v>202</v>
      </c>
      <c r="F319" s="7">
        <f>VLOOKUP(Prediction!B319,Data!$A$1:$F$7,2,)*C319*D319/1000</f>
        <v>6.72</v>
      </c>
      <c r="G319" s="7">
        <f>VLOOKUP(B319,Data!$A$1:$F$7,4,FALSE)*C319*D319/1000</f>
        <v>13.188000000000001</v>
      </c>
      <c r="H319" s="7">
        <f>VLOOKUP(B319,Data!$A$1:$G$7,7,FALSE)*C319</f>
        <v>32900</v>
      </c>
      <c r="I319" s="7">
        <f t="shared" si="17"/>
        <v>21</v>
      </c>
      <c r="J319" s="7"/>
    </row>
    <row r="320" spans="1:10" x14ac:dyDescent="0.3">
      <c r="A320" s="2">
        <v>45801</v>
      </c>
      <c r="B320" t="s">
        <v>9</v>
      </c>
      <c r="C320" s="3">
        <v>3.5</v>
      </c>
      <c r="D320" s="3">
        <v>1</v>
      </c>
      <c r="E320" s="3" t="s">
        <v>202</v>
      </c>
      <c r="F320" s="7">
        <f>VLOOKUP(Prediction!B320,Data!$A$1:$F$7,2,)*C320*D320/1000</f>
        <v>1.1200000000000001</v>
      </c>
      <c r="G320" s="7">
        <f>VLOOKUP(B320,Data!$A$1:$F$7,4,FALSE)*C320*D320/1000</f>
        <v>2.198</v>
      </c>
      <c r="H320" s="7">
        <f>VLOOKUP(B320,Data!$A$1:$G$7,7,FALSE)*C320</f>
        <v>16450</v>
      </c>
      <c r="I320" s="7">
        <f t="shared" si="17"/>
        <v>3.5</v>
      </c>
      <c r="J320" s="7"/>
    </row>
    <row r="321" spans="1:10" x14ac:dyDescent="0.3">
      <c r="A321" s="2">
        <v>45802</v>
      </c>
      <c r="B321" t="s">
        <v>7</v>
      </c>
      <c r="C321" s="3">
        <v>7</v>
      </c>
      <c r="D321" s="3">
        <v>1</v>
      </c>
      <c r="E321" s="3" t="s">
        <v>195</v>
      </c>
      <c r="F321" s="7">
        <f>VLOOKUP(Prediction!B321,Data!$A$1:$F$7,2,)*C321*D321/1000</f>
        <v>1.75</v>
      </c>
      <c r="G321" s="7">
        <f>VLOOKUP(B321,Data!$A$1:$F$7,4,FALSE)*C321*D321/1000</f>
        <v>5.7119999999999997</v>
      </c>
      <c r="H321" s="7">
        <f>VLOOKUP(B321,Data!$A$1:$G$7,7,FALSE)*C321</f>
        <v>36400</v>
      </c>
      <c r="I321" s="7">
        <f t="shared" si="17"/>
        <v>7</v>
      </c>
      <c r="J321" s="7"/>
    </row>
    <row r="322" spans="1:10" x14ac:dyDescent="0.3">
      <c r="A322" s="2">
        <v>45803</v>
      </c>
      <c r="B322" t="s">
        <v>7</v>
      </c>
      <c r="C322" s="3">
        <v>7</v>
      </c>
      <c r="D322" s="3">
        <v>2</v>
      </c>
      <c r="E322" s="3" t="s">
        <v>208</v>
      </c>
      <c r="F322" s="7">
        <f>VLOOKUP(Prediction!B322,Data!$A$1:$F$7,2,)*C322*D322/1000</f>
        <v>3.5</v>
      </c>
      <c r="G322" s="7">
        <f>VLOOKUP(B322,Data!$A$1:$F$7,4,FALSE)*C322*D322/1000</f>
        <v>11.423999999999999</v>
      </c>
      <c r="H322" s="7">
        <f>VLOOKUP(B322,Data!$A$1:$G$7,7,FALSE)*C322</f>
        <v>36400</v>
      </c>
      <c r="I322" s="7">
        <f t="shared" si="17"/>
        <v>14</v>
      </c>
      <c r="J322" s="7"/>
    </row>
    <row r="323" spans="1:10" x14ac:dyDescent="0.3">
      <c r="A323" s="2">
        <v>45803</v>
      </c>
      <c r="B323" t="s">
        <v>7</v>
      </c>
      <c r="C323" s="3">
        <v>6</v>
      </c>
      <c r="D323" s="3">
        <v>14</v>
      </c>
      <c r="E323" s="3" t="s">
        <v>237</v>
      </c>
      <c r="F323" s="7">
        <f>VLOOKUP(Prediction!B323,Data!$A$1:$F$7,2,)*C323*D323/1000</f>
        <v>21</v>
      </c>
      <c r="G323" s="7">
        <f>VLOOKUP(B323,Data!$A$1:$F$7,4,FALSE)*C323*D323/1000</f>
        <v>68.543999999999997</v>
      </c>
      <c r="H323" s="7">
        <f>VLOOKUP(B323,Data!$A$1:$G$7,7,FALSE)*C323</f>
        <v>31200</v>
      </c>
      <c r="I323" s="7">
        <f t="shared" ref="I323:I330" si="18">C323*D323</f>
        <v>84</v>
      </c>
      <c r="J323" s="7"/>
    </row>
    <row r="324" spans="1:10" x14ac:dyDescent="0.3">
      <c r="A324" s="2">
        <v>45803</v>
      </c>
      <c r="B324" t="s">
        <v>4</v>
      </c>
      <c r="C324" s="3">
        <v>7</v>
      </c>
      <c r="D324" s="3">
        <v>2</v>
      </c>
      <c r="E324" s="3" t="s">
        <v>225</v>
      </c>
      <c r="F324" s="7">
        <f>VLOOKUP(Prediction!B324,Data!$A$1:$F$7,2,)*C324*D324/1000</f>
        <v>3.22</v>
      </c>
      <c r="G324" s="7">
        <f>VLOOKUP(B324,Data!$A$1:$F$7,4,FALSE)*C324*D324/1000</f>
        <v>9.4079999999999995</v>
      </c>
      <c r="H324" s="7">
        <f>VLOOKUP(B324,Data!$A$1:$G$7,7,FALSE)*C324</f>
        <v>35000</v>
      </c>
      <c r="I324" s="7">
        <f t="shared" si="18"/>
        <v>14</v>
      </c>
      <c r="J324" s="7"/>
    </row>
    <row r="325" spans="1:10" x14ac:dyDescent="0.3">
      <c r="A325" s="2">
        <v>45803</v>
      </c>
      <c r="B325" t="s">
        <v>7</v>
      </c>
      <c r="C325" s="3">
        <v>2.5</v>
      </c>
      <c r="D325" s="3">
        <v>1</v>
      </c>
      <c r="E325" s="3" t="s">
        <v>237</v>
      </c>
      <c r="F325" s="7">
        <f>VLOOKUP(Prediction!B325,Data!$A$1:$F$7,2,)*C325*D325/1000</f>
        <v>0.625</v>
      </c>
      <c r="G325" s="7">
        <f>VLOOKUP(B325,Data!$A$1:$F$7,4,FALSE)*C325*D325/1000</f>
        <v>2.04</v>
      </c>
      <c r="H325" s="7">
        <f>VLOOKUP(B325,Data!$A$1:$G$7,7,FALSE)*C325</f>
        <v>13000</v>
      </c>
      <c r="I325" s="7">
        <f t="shared" si="18"/>
        <v>2.5</v>
      </c>
      <c r="J325" s="7"/>
    </row>
    <row r="326" spans="1:10" x14ac:dyDescent="0.3">
      <c r="A326" s="2">
        <v>45803</v>
      </c>
      <c r="B326" t="s">
        <v>17</v>
      </c>
      <c r="C326" s="3">
        <v>3.5</v>
      </c>
      <c r="D326" s="3">
        <v>1</v>
      </c>
      <c r="E326" s="3" t="s">
        <v>195</v>
      </c>
      <c r="F326" s="7">
        <f>VLOOKUP(Prediction!B326,Data!$A$1:$F$7,2,)*C326*D326/1000</f>
        <v>0.73499999999999999</v>
      </c>
      <c r="G326" s="7">
        <f>VLOOKUP(B326,Data!$A$1:$F$7,4,FALSE)*C326*D326/1000</f>
        <v>2.7054999999999998</v>
      </c>
      <c r="H326" s="7">
        <f>VLOOKUP(B326,Data!$A$1:$G$7,7,FALSE)*C326</f>
        <v>14000</v>
      </c>
      <c r="I326" s="7">
        <f t="shared" si="18"/>
        <v>3.5</v>
      </c>
      <c r="J326" s="7"/>
    </row>
    <row r="327" spans="1:10" x14ac:dyDescent="0.3">
      <c r="A327" s="2">
        <v>45804</v>
      </c>
      <c r="B327" t="s">
        <v>7</v>
      </c>
      <c r="C327" s="3">
        <v>6</v>
      </c>
      <c r="D327" s="3">
        <v>2</v>
      </c>
      <c r="E327" s="3" t="s">
        <v>195</v>
      </c>
      <c r="F327" s="7">
        <f>VLOOKUP(Prediction!B327,Data!$A$1:$F$7,2,)*C327*D327/1000</f>
        <v>3</v>
      </c>
      <c r="G327" s="7">
        <f>VLOOKUP(B327,Data!$A$1:$F$7,4,FALSE)*C327*D327/1000</f>
        <v>9.7919999999999998</v>
      </c>
      <c r="H327" s="7">
        <f>VLOOKUP(B327,Data!$A$1:$G$7,7,FALSE)*C327</f>
        <v>31200</v>
      </c>
      <c r="I327" s="7">
        <f t="shared" si="18"/>
        <v>12</v>
      </c>
      <c r="J327" s="7"/>
    </row>
    <row r="328" spans="1:10" x14ac:dyDescent="0.3">
      <c r="A328" s="2">
        <v>45805</v>
      </c>
      <c r="B328" t="s">
        <v>9</v>
      </c>
      <c r="C328" s="3">
        <v>6</v>
      </c>
      <c r="D328" s="3">
        <v>4</v>
      </c>
      <c r="E328" s="3" t="s">
        <v>202</v>
      </c>
      <c r="F328" s="7">
        <f>VLOOKUP(Prediction!B328,Data!$A$1:$F$7,2,)*C328*D328/1000</f>
        <v>7.68</v>
      </c>
      <c r="G328" s="7">
        <f>VLOOKUP(B328,Data!$A$1:$F$7,4,FALSE)*C328*D328/1000</f>
        <v>15.071999999999999</v>
      </c>
      <c r="H328" s="7">
        <f>VLOOKUP(B328,Data!$A$1:$G$7,7,FALSE)*C328</f>
        <v>28200</v>
      </c>
      <c r="I328" s="7">
        <f t="shared" si="18"/>
        <v>24</v>
      </c>
      <c r="J328" s="7"/>
    </row>
    <row r="329" spans="1:10" x14ac:dyDescent="0.3">
      <c r="A329" s="2">
        <v>45806</v>
      </c>
      <c r="B329" t="s">
        <v>13</v>
      </c>
      <c r="C329" s="3">
        <v>5</v>
      </c>
      <c r="D329" s="3">
        <v>2</v>
      </c>
      <c r="E329" s="3" t="s">
        <v>228</v>
      </c>
      <c r="F329" s="7">
        <f>VLOOKUP(Prediction!B329,Data!$A$1:$F$7,2,)*C329*D329/1000</f>
        <v>2.6</v>
      </c>
      <c r="G329" s="7">
        <f>VLOOKUP(B329,Data!$A$1:$F$7,4,FALSE)*C329*D329/1000</f>
        <v>7.17</v>
      </c>
      <c r="H329" s="7">
        <f>VLOOKUP(B329,Data!$A$1:$G$7,7,FALSE)*C329</f>
        <v>21500</v>
      </c>
      <c r="I329" s="7">
        <f t="shared" si="18"/>
        <v>10</v>
      </c>
      <c r="J329" s="7"/>
    </row>
    <row r="330" spans="1:10" x14ac:dyDescent="0.3">
      <c r="A330" s="2">
        <v>45806</v>
      </c>
      <c r="B330" t="s">
        <v>7</v>
      </c>
      <c r="C330" s="3">
        <v>6</v>
      </c>
      <c r="D330" s="3">
        <v>4</v>
      </c>
      <c r="E330" s="3" t="s">
        <v>244</v>
      </c>
      <c r="F330" s="7">
        <f>VLOOKUP(Prediction!B330,Data!$A$1:$F$7,2,)*C330*D330/1000</f>
        <v>6</v>
      </c>
      <c r="G330" s="7">
        <f>VLOOKUP(B330,Data!$A$1:$F$7,4,FALSE)*C330*D330/1000</f>
        <v>19.584</v>
      </c>
      <c r="H330" s="7">
        <f>VLOOKUP(B330,Data!$A$1:$G$7,7,FALSE)*C330</f>
        <v>31200</v>
      </c>
      <c r="I330" s="7">
        <f t="shared" si="18"/>
        <v>24</v>
      </c>
      <c r="J330" s="7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B526-62B7-41AD-996F-D9959CACB862}">
  <dimension ref="A1:G7"/>
  <sheetViews>
    <sheetView workbookViewId="0">
      <selection activeCell="G8" sqref="G8"/>
    </sheetView>
  </sheetViews>
  <sheetFormatPr defaultRowHeight="14.4" x14ac:dyDescent="0.3"/>
  <sheetData>
    <row r="1" spans="1:7" ht="57.6" x14ac:dyDescent="0.3">
      <c r="A1" s="4" t="s">
        <v>91</v>
      </c>
      <c r="B1" s="4" t="s">
        <v>92</v>
      </c>
      <c r="C1" s="4" t="s">
        <v>93</v>
      </c>
      <c r="D1" s="4" t="s">
        <v>94</v>
      </c>
      <c r="E1" s="4" t="s">
        <v>95</v>
      </c>
      <c r="F1" s="4" t="s">
        <v>96</v>
      </c>
      <c r="G1" s="15" t="s">
        <v>134</v>
      </c>
    </row>
    <row r="2" spans="1:7" x14ac:dyDescent="0.3">
      <c r="A2" s="5" t="s">
        <v>17</v>
      </c>
      <c r="B2" s="6">
        <v>210</v>
      </c>
      <c r="C2" s="6">
        <v>0</v>
      </c>
      <c r="D2" s="6">
        <v>773</v>
      </c>
      <c r="E2" s="6">
        <v>660</v>
      </c>
      <c r="F2" s="6">
        <v>490</v>
      </c>
      <c r="G2" s="16">
        <v>4000</v>
      </c>
    </row>
    <row r="3" spans="1:7" x14ac:dyDescent="0.3">
      <c r="A3" s="5" t="s">
        <v>13</v>
      </c>
      <c r="B3" s="6">
        <v>260</v>
      </c>
      <c r="C3" s="6">
        <v>0</v>
      </c>
      <c r="D3" s="6">
        <v>717</v>
      </c>
      <c r="E3" s="6">
        <v>630</v>
      </c>
      <c r="F3" s="6">
        <v>480</v>
      </c>
      <c r="G3" s="16">
        <v>4300</v>
      </c>
    </row>
    <row r="4" spans="1:7" x14ac:dyDescent="0.3">
      <c r="A4" s="5" t="s">
        <v>9</v>
      </c>
      <c r="B4" s="6">
        <v>320</v>
      </c>
      <c r="C4" s="6">
        <v>80</v>
      </c>
      <c r="D4" s="6">
        <v>628</v>
      </c>
      <c r="E4" s="6">
        <v>600</v>
      </c>
      <c r="F4" s="6">
        <v>470</v>
      </c>
      <c r="G4" s="16">
        <v>4700</v>
      </c>
    </row>
    <row r="5" spans="1:7" x14ac:dyDescent="0.3">
      <c r="A5" s="5" t="s">
        <v>4</v>
      </c>
      <c r="B5" s="6">
        <v>230</v>
      </c>
      <c r="C5" s="6">
        <v>100</v>
      </c>
      <c r="D5" s="6">
        <v>672</v>
      </c>
      <c r="E5" s="6">
        <v>595</v>
      </c>
      <c r="F5" s="6">
        <v>470</v>
      </c>
      <c r="G5" s="16">
        <v>5000</v>
      </c>
    </row>
    <row r="6" spans="1:7" x14ac:dyDescent="0.3">
      <c r="A6" s="5" t="s">
        <v>7</v>
      </c>
      <c r="B6" s="6">
        <v>250</v>
      </c>
      <c r="C6" s="6">
        <v>110</v>
      </c>
      <c r="D6" s="6">
        <v>816</v>
      </c>
      <c r="E6" s="6">
        <v>586</v>
      </c>
      <c r="F6" s="6">
        <v>478</v>
      </c>
      <c r="G6" s="16">
        <v>5200</v>
      </c>
    </row>
    <row r="7" spans="1:7" x14ac:dyDescent="0.3">
      <c r="A7" s="5" t="s">
        <v>73</v>
      </c>
      <c r="B7" s="6">
        <v>265</v>
      </c>
      <c r="C7" s="6">
        <v>115</v>
      </c>
      <c r="D7" s="6">
        <v>790</v>
      </c>
      <c r="E7" s="6">
        <v>580</v>
      </c>
      <c r="F7" s="6">
        <v>470</v>
      </c>
      <c r="G7" s="16">
        <v>5450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CAA4-F8B1-4BC3-82EB-51AB05E030BE}">
  <dimension ref="A1:AA83"/>
  <sheetViews>
    <sheetView topLeftCell="A71" workbookViewId="0">
      <selection activeCell="E98" sqref="E98"/>
    </sheetView>
  </sheetViews>
  <sheetFormatPr defaultRowHeight="14.4" x14ac:dyDescent="0.3"/>
  <cols>
    <col min="1" max="1" width="12.5546875" bestFit="1" customWidth="1"/>
    <col min="2" max="2" width="11.21875" bestFit="1" customWidth="1"/>
    <col min="3" max="3" width="9.77734375" bestFit="1" customWidth="1"/>
    <col min="4" max="4" width="19.6640625" bestFit="1" customWidth="1"/>
    <col min="5" max="5" width="14.88671875" bestFit="1" customWidth="1"/>
    <col min="6" max="6" width="14.88671875" customWidth="1"/>
    <col min="7" max="10" width="9.77734375" customWidth="1"/>
    <col min="11" max="11" width="11.109375" customWidth="1"/>
    <col min="12" max="12" width="19" bestFit="1" customWidth="1"/>
    <col min="13" max="13" width="14.88671875" bestFit="1" customWidth="1"/>
    <col min="14" max="14" width="19" style="14" bestFit="1" customWidth="1"/>
    <col min="15" max="15" width="14.88671875" style="14" bestFit="1" customWidth="1"/>
    <col min="16" max="16" width="19" style="14" bestFit="1" customWidth="1"/>
    <col min="17" max="17" width="14.88671875" style="14" bestFit="1" customWidth="1"/>
    <col min="18" max="18" width="19" style="14" bestFit="1" customWidth="1"/>
    <col min="19" max="19" width="14.88671875" bestFit="1" customWidth="1"/>
    <col min="20" max="20" width="23.77734375" bestFit="1" customWidth="1"/>
    <col min="21" max="21" width="19.6640625" customWidth="1"/>
    <col min="23" max="23" width="16.6640625" customWidth="1"/>
    <col min="25" max="25" width="15.109375" bestFit="1" customWidth="1"/>
    <col min="26" max="26" width="16.33203125" bestFit="1" customWidth="1"/>
  </cols>
  <sheetData>
    <row r="1" spans="1:27" x14ac:dyDescent="0.3">
      <c r="A1" s="8" t="s">
        <v>100</v>
      </c>
      <c r="B1" t="s">
        <v>140</v>
      </c>
      <c r="C1" t="s">
        <v>139</v>
      </c>
      <c r="D1" t="s">
        <v>138</v>
      </c>
      <c r="E1" t="s">
        <v>136</v>
      </c>
      <c r="G1" t="s">
        <v>171</v>
      </c>
      <c r="H1" s="17" t="s">
        <v>146</v>
      </c>
      <c r="I1" s="17" t="s">
        <v>145</v>
      </c>
      <c r="J1" s="17" t="s">
        <v>144</v>
      </c>
      <c r="K1" s="17" t="s">
        <v>142</v>
      </c>
      <c r="L1" s="17" t="s">
        <v>141</v>
      </c>
      <c r="M1" s="17"/>
      <c r="N1" s="18" t="s">
        <v>143</v>
      </c>
      <c r="O1" s="18" t="s">
        <v>147</v>
      </c>
      <c r="P1" s="18" t="s">
        <v>144</v>
      </c>
      <c r="Q1" s="18" t="s">
        <v>148</v>
      </c>
      <c r="R1" s="18" t="s">
        <v>135</v>
      </c>
      <c r="S1" s="18" t="s">
        <v>149</v>
      </c>
      <c r="T1" s="17"/>
      <c r="U1" s="18" t="s">
        <v>172</v>
      </c>
      <c r="V1" s="18" t="s">
        <v>149</v>
      </c>
      <c r="W1" s="18" t="s">
        <v>160</v>
      </c>
    </row>
    <row r="2" spans="1:27" x14ac:dyDescent="0.3">
      <c r="A2" s="13" t="s">
        <v>173</v>
      </c>
      <c r="B2" s="2">
        <v>45738</v>
      </c>
      <c r="C2">
        <v>3</v>
      </c>
      <c r="D2" s="7">
        <v>21.5</v>
      </c>
      <c r="E2" s="7">
        <v>64500</v>
      </c>
      <c r="G2" t="s">
        <v>173</v>
      </c>
      <c r="H2" s="7">
        <v>21.5</v>
      </c>
      <c r="I2" s="7">
        <v>64500</v>
      </c>
      <c r="J2">
        <v>3</v>
      </c>
      <c r="K2" s="2">
        <v>45738</v>
      </c>
      <c r="L2">
        <f>$M$2-K2</f>
        <v>71</v>
      </c>
      <c r="M2" s="2">
        <v>45809</v>
      </c>
      <c r="N2" s="14">
        <f>1/L2</f>
        <v>1.4084507042253521E-2</v>
      </c>
      <c r="O2" s="14">
        <f>N2/MAX($N$2:$N$82)</f>
        <v>4.225352112676057E-2</v>
      </c>
      <c r="P2" s="14">
        <f>J2/MAX($J$2:$J$82)</f>
        <v>6.9767441860465115E-2</v>
      </c>
      <c r="Q2" s="14">
        <f>H2/MAX($H$2:$H$82)</f>
        <v>3.6720751494449186E-2</v>
      </c>
      <c r="R2" s="14">
        <f>I2/MAX($I$2:$I$82)</f>
        <v>4.9831961988642946E-2</v>
      </c>
      <c r="S2" s="14">
        <f>SUM(N2:R2)</f>
        <v>0.21265818351257135</v>
      </c>
      <c r="T2">
        <v>1</v>
      </c>
      <c r="U2" s="13" t="s">
        <v>232</v>
      </c>
      <c r="V2" s="14">
        <v>2.9005271062163196</v>
      </c>
      <c r="W2" t="str">
        <f>IF(V2&gt;=1,"Loyal",IF(V2&gt;=0.4,"Potential Loyalist",IF(V2&gt;=0.15,"Need Attention","At Risk")))</f>
        <v>Loyal</v>
      </c>
    </row>
    <row r="3" spans="1:27" x14ac:dyDescent="0.3">
      <c r="A3" s="13" t="s">
        <v>182</v>
      </c>
      <c r="B3" s="2">
        <v>45696</v>
      </c>
      <c r="C3">
        <v>3</v>
      </c>
      <c r="D3" s="7">
        <v>47</v>
      </c>
      <c r="E3" s="7">
        <v>56400</v>
      </c>
      <c r="G3" t="s">
        <v>174</v>
      </c>
      <c r="H3" s="7">
        <v>9</v>
      </c>
      <c r="I3" s="7">
        <v>45000</v>
      </c>
      <c r="J3">
        <v>2</v>
      </c>
      <c r="K3" s="2">
        <v>45698</v>
      </c>
      <c r="L3">
        <f t="shared" ref="L3:L66" si="0">$M$2-K3</f>
        <v>111</v>
      </c>
      <c r="N3" s="14">
        <f t="shared" ref="N3:N66" si="1">1/L3</f>
        <v>9.0090090090090089E-3</v>
      </c>
      <c r="O3" s="14">
        <f t="shared" ref="O3:O66" si="2">N3/MAX($N$2:$N$82)</f>
        <v>2.7027027027027029E-2</v>
      </c>
      <c r="P3" s="14">
        <f t="shared" ref="P3:P66" si="3">J3/MAX($J$2:$J$82)</f>
        <v>4.6511627906976744E-2</v>
      </c>
      <c r="Q3" s="14">
        <f t="shared" ref="Q3:Q66" si="4">H3/MAX($H$2:$H$82)</f>
        <v>1.5371477369769428E-2</v>
      </c>
      <c r="R3" s="14">
        <f t="shared" ref="R3:R66" si="5">I3/MAX($I$2:$I$82)</f>
        <v>3.4766485108355547E-2</v>
      </c>
      <c r="S3" s="14">
        <f t="shared" ref="S3:S66" si="6">SUM(N3:R3)</f>
        <v>0.13268562642113774</v>
      </c>
      <c r="T3">
        <v>2</v>
      </c>
      <c r="U3" s="13" t="s">
        <v>195</v>
      </c>
      <c r="V3" s="14">
        <v>2.8983334546117696</v>
      </c>
      <c r="W3" t="str">
        <f t="shared" ref="W3:W66" si="7">IF(V3&gt;=1,"Loyal",IF(V3&gt;=0.4,"Potential Loyalist",IF(V3&gt;=0.15,"Need Attention","At Risk")))</f>
        <v>Loyal</v>
      </c>
    </row>
    <row r="4" spans="1:27" x14ac:dyDescent="0.3">
      <c r="A4" s="13" t="s">
        <v>183</v>
      </c>
      <c r="B4" s="2">
        <v>45783</v>
      </c>
      <c r="C4">
        <v>1</v>
      </c>
      <c r="D4" s="7">
        <v>42</v>
      </c>
      <c r="E4" s="7">
        <v>32900</v>
      </c>
      <c r="G4" t="s">
        <v>175</v>
      </c>
      <c r="H4" s="7">
        <v>12.5</v>
      </c>
      <c r="I4" s="7">
        <v>62500</v>
      </c>
      <c r="J4">
        <v>2</v>
      </c>
      <c r="K4" s="2">
        <v>45761</v>
      </c>
      <c r="L4">
        <f t="shared" si="0"/>
        <v>48</v>
      </c>
      <c r="N4" s="14">
        <f t="shared" si="1"/>
        <v>2.0833333333333332E-2</v>
      </c>
      <c r="O4" s="14">
        <f t="shared" si="2"/>
        <v>6.25E-2</v>
      </c>
      <c r="P4" s="14">
        <f t="shared" si="3"/>
        <v>4.6511627906976744E-2</v>
      </c>
      <c r="Q4" s="14">
        <f t="shared" si="4"/>
        <v>2.1349274124679761E-2</v>
      </c>
      <c r="R4" s="14">
        <f t="shared" si="5"/>
        <v>4.8286784872716038E-2</v>
      </c>
      <c r="S4" s="14">
        <f t="shared" si="6"/>
        <v>0.19948102023770589</v>
      </c>
      <c r="T4">
        <f>T3+1</f>
        <v>3</v>
      </c>
      <c r="U4" s="13" t="s">
        <v>244</v>
      </c>
      <c r="V4" s="14">
        <v>2.2063317093039445</v>
      </c>
      <c r="W4" t="str">
        <f t="shared" si="7"/>
        <v>Loyal</v>
      </c>
    </row>
    <row r="5" spans="1:27" x14ac:dyDescent="0.3">
      <c r="A5" s="13" t="s">
        <v>184</v>
      </c>
      <c r="B5" s="2">
        <v>45764</v>
      </c>
      <c r="C5">
        <v>1</v>
      </c>
      <c r="D5" s="7">
        <v>16</v>
      </c>
      <c r="E5" s="7">
        <v>37600</v>
      </c>
      <c r="G5" t="s">
        <v>176</v>
      </c>
      <c r="H5" s="7">
        <v>247.5</v>
      </c>
      <c r="I5" s="7">
        <v>361400</v>
      </c>
      <c r="J5">
        <v>11</v>
      </c>
      <c r="K5" s="2">
        <v>45742</v>
      </c>
      <c r="L5">
        <f t="shared" si="0"/>
        <v>67</v>
      </c>
      <c r="N5" s="14">
        <f t="shared" si="1"/>
        <v>1.4925373134328358E-2</v>
      </c>
      <c r="O5" s="14">
        <f t="shared" si="2"/>
        <v>4.4776119402985079E-2</v>
      </c>
      <c r="P5" s="14">
        <f t="shared" si="3"/>
        <v>0.2558139534883721</v>
      </c>
      <c r="Q5" s="14">
        <f t="shared" si="4"/>
        <v>0.42271562766865928</v>
      </c>
      <c r="R5" s="14">
        <f t="shared" si="5"/>
        <v>0.27921350484799318</v>
      </c>
      <c r="S5" s="14">
        <f t="shared" si="6"/>
        <v>1.0174445785423381</v>
      </c>
      <c r="T5">
        <f t="shared" ref="T5:T68" si="8">T4+1</f>
        <v>4</v>
      </c>
      <c r="U5" s="13" t="s">
        <v>236</v>
      </c>
      <c r="V5" s="14">
        <v>1.5863604572224594</v>
      </c>
      <c r="W5" t="str">
        <f t="shared" si="7"/>
        <v>Loyal</v>
      </c>
    </row>
    <row r="6" spans="1:27" x14ac:dyDescent="0.3">
      <c r="A6" s="13" t="s">
        <v>185</v>
      </c>
      <c r="B6" s="2">
        <v>45780</v>
      </c>
      <c r="C6">
        <v>1</v>
      </c>
      <c r="D6" s="7">
        <v>4</v>
      </c>
      <c r="E6" s="7">
        <v>20000</v>
      </c>
      <c r="G6" t="s">
        <v>177</v>
      </c>
      <c r="H6" s="7">
        <v>14</v>
      </c>
      <c r="I6" s="7">
        <v>36400</v>
      </c>
      <c r="J6">
        <v>1</v>
      </c>
      <c r="K6" s="2">
        <v>45702</v>
      </c>
      <c r="L6">
        <f t="shared" si="0"/>
        <v>107</v>
      </c>
      <c r="N6" s="14">
        <f t="shared" si="1"/>
        <v>9.3457943925233638E-3</v>
      </c>
      <c r="O6" s="14">
        <f t="shared" si="2"/>
        <v>2.8037383177570093E-2</v>
      </c>
      <c r="P6" s="14">
        <f t="shared" si="3"/>
        <v>2.3255813953488372E-2</v>
      </c>
      <c r="Q6" s="14">
        <f t="shared" si="4"/>
        <v>2.3911187019641331E-2</v>
      </c>
      <c r="R6" s="14">
        <f t="shared" si="5"/>
        <v>2.8122223509869818E-2</v>
      </c>
      <c r="S6" s="14">
        <f t="shared" si="6"/>
        <v>0.11267240205309298</v>
      </c>
      <c r="T6">
        <f t="shared" si="8"/>
        <v>5</v>
      </c>
      <c r="U6" s="13" t="s">
        <v>228</v>
      </c>
      <c r="V6" s="14">
        <v>1.3902792205827799</v>
      </c>
      <c r="W6" t="str">
        <f t="shared" si="7"/>
        <v>Loyal</v>
      </c>
      <c r="Z6" t="s">
        <v>160</v>
      </c>
      <c r="AA6" t="s">
        <v>152</v>
      </c>
    </row>
    <row r="7" spans="1:27" x14ac:dyDescent="0.3">
      <c r="A7" s="13" t="s">
        <v>186</v>
      </c>
      <c r="B7" s="2">
        <v>45758</v>
      </c>
      <c r="C7">
        <v>4</v>
      </c>
      <c r="D7" s="7">
        <v>54.5</v>
      </c>
      <c r="E7" s="7">
        <v>126650</v>
      </c>
      <c r="G7" t="s">
        <v>178</v>
      </c>
      <c r="H7" s="7">
        <v>105</v>
      </c>
      <c r="I7" s="7">
        <v>36400</v>
      </c>
      <c r="J7">
        <v>1</v>
      </c>
      <c r="K7" s="2">
        <v>45702</v>
      </c>
      <c r="L7">
        <f t="shared" si="0"/>
        <v>107</v>
      </c>
      <c r="N7" s="14">
        <f t="shared" si="1"/>
        <v>9.3457943925233638E-3</v>
      </c>
      <c r="O7" s="14">
        <f t="shared" si="2"/>
        <v>2.8037383177570093E-2</v>
      </c>
      <c r="P7" s="14">
        <f t="shared" si="3"/>
        <v>2.3255813953488372E-2</v>
      </c>
      <c r="Q7" s="14">
        <f t="shared" si="4"/>
        <v>0.17933390264731</v>
      </c>
      <c r="R7" s="14">
        <f t="shared" si="5"/>
        <v>2.8122223509869818E-2</v>
      </c>
      <c r="S7" s="14">
        <f t="shared" si="6"/>
        <v>0.26809511768076166</v>
      </c>
      <c r="T7">
        <f t="shared" si="8"/>
        <v>6</v>
      </c>
      <c r="U7" s="13" t="s">
        <v>229</v>
      </c>
      <c r="V7" s="14">
        <v>1.3502047383333085</v>
      </c>
      <c r="W7" t="str">
        <f t="shared" si="7"/>
        <v>Loyal</v>
      </c>
      <c r="Z7" t="s">
        <v>151</v>
      </c>
      <c r="AA7" t="s">
        <v>153</v>
      </c>
    </row>
    <row r="8" spans="1:27" x14ac:dyDescent="0.3">
      <c r="A8" s="13" t="s">
        <v>187</v>
      </c>
      <c r="B8" s="2">
        <v>45732</v>
      </c>
      <c r="C8">
        <v>3</v>
      </c>
      <c r="D8" s="7">
        <v>42</v>
      </c>
      <c r="E8" s="7">
        <v>70000</v>
      </c>
      <c r="G8" t="s">
        <v>179</v>
      </c>
      <c r="H8" s="7">
        <v>5</v>
      </c>
      <c r="I8" s="7">
        <v>23500</v>
      </c>
      <c r="J8">
        <v>1</v>
      </c>
      <c r="K8" s="2">
        <v>45697</v>
      </c>
      <c r="L8">
        <f t="shared" si="0"/>
        <v>112</v>
      </c>
      <c r="N8" s="14">
        <f t="shared" si="1"/>
        <v>8.9285714285714281E-3</v>
      </c>
      <c r="O8" s="14">
        <f t="shared" si="2"/>
        <v>2.6785714285714284E-2</v>
      </c>
      <c r="P8" s="14">
        <f t="shared" si="3"/>
        <v>2.3255813953488372E-2</v>
      </c>
      <c r="Q8" s="14">
        <f t="shared" si="4"/>
        <v>8.539709649871904E-3</v>
      </c>
      <c r="R8" s="14">
        <f t="shared" si="5"/>
        <v>1.8155831112141228E-2</v>
      </c>
      <c r="S8" s="14">
        <f t="shared" si="6"/>
        <v>8.5665640429787207E-2</v>
      </c>
      <c r="T8">
        <f t="shared" si="8"/>
        <v>7</v>
      </c>
      <c r="U8" s="13" t="s">
        <v>202</v>
      </c>
      <c r="V8" s="14">
        <v>1.3336612105087318</v>
      </c>
      <c r="W8" t="str">
        <f t="shared" si="7"/>
        <v>Loyal</v>
      </c>
      <c r="Z8" t="s">
        <v>154</v>
      </c>
      <c r="AA8" t="s">
        <v>155</v>
      </c>
    </row>
    <row r="9" spans="1:27" x14ac:dyDescent="0.3">
      <c r="A9" s="13" t="s">
        <v>188</v>
      </c>
      <c r="B9" s="2">
        <v>45749</v>
      </c>
      <c r="C9">
        <v>1</v>
      </c>
      <c r="D9" s="7">
        <v>7</v>
      </c>
      <c r="E9" s="7">
        <v>32900</v>
      </c>
      <c r="G9" t="s">
        <v>180</v>
      </c>
      <c r="H9" s="7">
        <v>40</v>
      </c>
      <c r="I9" s="7">
        <v>136400</v>
      </c>
      <c r="J9">
        <v>5</v>
      </c>
      <c r="K9" s="2">
        <v>45785</v>
      </c>
      <c r="L9">
        <f t="shared" si="0"/>
        <v>24</v>
      </c>
      <c r="N9" s="14">
        <f t="shared" si="1"/>
        <v>4.1666666666666664E-2</v>
      </c>
      <c r="O9" s="14">
        <f t="shared" si="2"/>
        <v>0.125</v>
      </c>
      <c r="P9" s="14">
        <f t="shared" si="3"/>
        <v>0.11627906976744186</v>
      </c>
      <c r="Q9" s="14">
        <f t="shared" si="4"/>
        <v>6.8317677198975232E-2</v>
      </c>
      <c r="R9" s="14">
        <f t="shared" si="5"/>
        <v>0.10538107930621547</v>
      </c>
      <c r="S9" s="14">
        <f t="shared" si="6"/>
        <v>0.45664449293929926</v>
      </c>
      <c r="T9">
        <f t="shared" si="8"/>
        <v>8</v>
      </c>
      <c r="U9" s="13" t="s">
        <v>237</v>
      </c>
      <c r="V9" s="14">
        <v>1.2671160005693369</v>
      </c>
      <c r="W9" t="str">
        <f t="shared" si="7"/>
        <v>Loyal</v>
      </c>
      <c r="Z9" t="s">
        <v>156</v>
      </c>
      <c r="AA9" t="s">
        <v>157</v>
      </c>
    </row>
    <row r="10" spans="1:27" x14ac:dyDescent="0.3">
      <c r="A10" s="13" t="s">
        <v>189</v>
      </c>
      <c r="B10" s="2">
        <v>45778</v>
      </c>
      <c r="C10">
        <v>4</v>
      </c>
      <c r="D10" s="7">
        <v>66.5</v>
      </c>
      <c r="E10" s="7">
        <v>132500</v>
      </c>
      <c r="G10" t="s">
        <v>181</v>
      </c>
      <c r="H10" s="7">
        <v>12</v>
      </c>
      <c r="I10" s="7">
        <v>28200</v>
      </c>
      <c r="J10">
        <v>1</v>
      </c>
      <c r="K10" s="2">
        <v>45749</v>
      </c>
      <c r="L10">
        <f t="shared" si="0"/>
        <v>60</v>
      </c>
      <c r="N10" s="14">
        <f t="shared" si="1"/>
        <v>1.6666666666666666E-2</v>
      </c>
      <c r="O10" s="14">
        <f t="shared" si="2"/>
        <v>0.05</v>
      </c>
      <c r="P10" s="14">
        <f t="shared" si="3"/>
        <v>2.3255813953488372E-2</v>
      </c>
      <c r="Q10" s="14">
        <f t="shared" si="4"/>
        <v>2.0495303159692571E-2</v>
      </c>
      <c r="R10" s="14">
        <f t="shared" si="5"/>
        <v>2.1786997334569475E-2</v>
      </c>
      <c r="S10" s="14">
        <f t="shared" si="6"/>
        <v>0.13220478111441708</v>
      </c>
      <c r="T10">
        <f t="shared" si="8"/>
        <v>9</v>
      </c>
      <c r="U10" s="13" t="s">
        <v>176</v>
      </c>
      <c r="V10" s="14">
        <v>1.0174445785423381</v>
      </c>
      <c r="W10" t="str">
        <f t="shared" si="7"/>
        <v>Loyal</v>
      </c>
      <c r="Z10" t="s">
        <v>158</v>
      </c>
      <c r="AA10" t="s">
        <v>159</v>
      </c>
    </row>
    <row r="11" spans="1:27" x14ac:dyDescent="0.3">
      <c r="A11" s="13" t="s">
        <v>190</v>
      </c>
      <c r="B11" s="2">
        <v>45730</v>
      </c>
      <c r="C11">
        <v>2</v>
      </c>
      <c r="D11" s="7">
        <v>55.5</v>
      </c>
      <c r="E11" s="7">
        <v>50000</v>
      </c>
      <c r="G11" t="s">
        <v>182</v>
      </c>
      <c r="H11" s="7">
        <v>47</v>
      </c>
      <c r="I11" s="7">
        <v>56400</v>
      </c>
      <c r="J11">
        <v>3</v>
      </c>
      <c r="K11" s="2">
        <v>45696</v>
      </c>
      <c r="L11">
        <f t="shared" si="0"/>
        <v>113</v>
      </c>
      <c r="N11" s="14">
        <f t="shared" si="1"/>
        <v>8.8495575221238937E-3</v>
      </c>
      <c r="O11" s="14">
        <f t="shared" si="2"/>
        <v>2.6548672566371681E-2</v>
      </c>
      <c r="P11" s="14">
        <f t="shared" si="3"/>
        <v>6.9767441860465115E-2</v>
      </c>
      <c r="Q11" s="14">
        <f t="shared" si="4"/>
        <v>8.0273270708795905E-2</v>
      </c>
      <c r="R11" s="14">
        <f t="shared" si="5"/>
        <v>4.357399466913895E-2</v>
      </c>
      <c r="S11" s="14">
        <f t="shared" si="6"/>
        <v>0.22901293732689554</v>
      </c>
      <c r="T11">
        <f t="shared" si="8"/>
        <v>10</v>
      </c>
      <c r="U11" s="13" t="s">
        <v>213</v>
      </c>
      <c r="V11" s="14">
        <v>0.96585028914007487</v>
      </c>
      <c r="W11" t="str">
        <f t="shared" si="7"/>
        <v>Potential Loyalist</v>
      </c>
    </row>
    <row r="12" spans="1:27" x14ac:dyDescent="0.3">
      <c r="A12" s="13" t="s">
        <v>191</v>
      </c>
      <c r="B12" s="2">
        <v>45790</v>
      </c>
      <c r="C12">
        <v>3</v>
      </c>
      <c r="D12" s="7">
        <v>63</v>
      </c>
      <c r="E12" s="7">
        <v>103750</v>
      </c>
      <c r="G12" t="s">
        <v>183</v>
      </c>
      <c r="H12" s="7">
        <v>42</v>
      </c>
      <c r="I12" s="7">
        <v>32900</v>
      </c>
      <c r="J12">
        <v>1</v>
      </c>
      <c r="K12" s="2">
        <v>45783</v>
      </c>
      <c r="L12">
        <f t="shared" si="0"/>
        <v>26</v>
      </c>
      <c r="N12" s="14">
        <f t="shared" si="1"/>
        <v>3.8461538461538464E-2</v>
      </c>
      <c r="O12" s="14">
        <f t="shared" si="2"/>
        <v>0.11538461538461539</v>
      </c>
      <c r="P12" s="14">
        <f t="shared" si="3"/>
        <v>2.3255813953488372E-2</v>
      </c>
      <c r="Q12" s="14">
        <f t="shared" si="4"/>
        <v>7.1733561058923992E-2</v>
      </c>
      <c r="R12" s="14">
        <f t="shared" si="5"/>
        <v>2.5418163556997719E-2</v>
      </c>
      <c r="S12" s="14">
        <f t="shared" si="6"/>
        <v>0.27425369241556391</v>
      </c>
      <c r="T12">
        <f t="shared" si="8"/>
        <v>11</v>
      </c>
      <c r="U12" s="13" t="s">
        <v>245</v>
      </c>
      <c r="V12" s="14">
        <v>0.96007608695404512</v>
      </c>
      <c r="W12" t="str">
        <f t="shared" si="7"/>
        <v>Potential Loyalist</v>
      </c>
    </row>
    <row r="13" spans="1:27" x14ac:dyDescent="0.3">
      <c r="A13" s="13" t="s">
        <v>174</v>
      </c>
      <c r="B13" s="2">
        <v>45698</v>
      </c>
      <c r="C13">
        <v>2</v>
      </c>
      <c r="D13" s="7">
        <v>9</v>
      </c>
      <c r="E13" s="7">
        <v>45000</v>
      </c>
      <c r="G13" t="s">
        <v>184</v>
      </c>
      <c r="H13" s="7">
        <v>16</v>
      </c>
      <c r="I13" s="7">
        <v>37600</v>
      </c>
      <c r="J13">
        <v>1</v>
      </c>
      <c r="K13" s="2">
        <v>45764</v>
      </c>
      <c r="L13">
        <f t="shared" si="0"/>
        <v>45</v>
      </c>
      <c r="N13" s="14">
        <f t="shared" si="1"/>
        <v>2.2222222222222223E-2</v>
      </c>
      <c r="O13" s="14">
        <f t="shared" si="2"/>
        <v>6.666666666666668E-2</v>
      </c>
      <c r="P13" s="14">
        <f t="shared" si="3"/>
        <v>2.3255813953488372E-2</v>
      </c>
      <c r="Q13" s="14">
        <f t="shared" si="4"/>
        <v>2.7327070879590094E-2</v>
      </c>
      <c r="R13" s="14">
        <f t="shared" si="5"/>
        <v>2.9049329779425967E-2</v>
      </c>
      <c r="S13" s="14">
        <f t="shared" si="6"/>
        <v>0.16852110350139332</v>
      </c>
      <c r="T13">
        <f t="shared" si="8"/>
        <v>12</v>
      </c>
      <c r="U13" s="13" t="s">
        <v>219</v>
      </c>
      <c r="V13" s="14">
        <v>0.79993552277209834</v>
      </c>
      <c r="W13" t="str">
        <f t="shared" si="7"/>
        <v>Potential Loyalist</v>
      </c>
    </row>
    <row r="14" spans="1:27" x14ac:dyDescent="0.3">
      <c r="A14" s="13" t="s">
        <v>192</v>
      </c>
      <c r="B14" s="2">
        <v>45749</v>
      </c>
      <c r="C14">
        <v>3</v>
      </c>
      <c r="D14" s="7">
        <v>47.5</v>
      </c>
      <c r="E14" s="7">
        <v>54800</v>
      </c>
      <c r="G14" t="s">
        <v>185</v>
      </c>
      <c r="H14" s="7">
        <v>4</v>
      </c>
      <c r="I14" s="7">
        <v>20000</v>
      </c>
      <c r="J14">
        <v>1</v>
      </c>
      <c r="K14" s="2">
        <v>45780</v>
      </c>
      <c r="L14">
        <f t="shared" si="0"/>
        <v>29</v>
      </c>
      <c r="N14" s="14">
        <f t="shared" si="1"/>
        <v>3.4482758620689655E-2</v>
      </c>
      <c r="O14" s="14">
        <f t="shared" si="2"/>
        <v>0.10344827586206896</v>
      </c>
      <c r="P14" s="14">
        <f t="shared" si="3"/>
        <v>2.3255813953488372E-2</v>
      </c>
      <c r="Q14" s="14">
        <f t="shared" si="4"/>
        <v>6.8317677198975234E-3</v>
      </c>
      <c r="R14" s="14">
        <f t="shared" si="5"/>
        <v>1.545177115926913E-2</v>
      </c>
      <c r="S14" s="14">
        <f t="shared" si="6"/>
        <v>0.18347038731541362</v>
      </c>
      <c r="T14">
        <f t="shared" si="8"/>
        <v>13</v>
      </c>
      <c r="U14" s="13" t="s">
        <v>235</v>
      </c>
      <c r="V14" s="14">
        <v>0.75986303900652408</v>
      </c>
      <c r="W14" t="str">
        <f t="shared" si="7"/>
        <v>Potential Loyalist</v>
      </c>
    </row>
    <row r="15" spans="1:27" x14ac:dyDescent="0.3">
      <c r="A15" s="13" t="s">
        <v>193</v>
      </c>
      <c r="B15" s="2">
        <v>45692</v>
      </c>
      <c r="C15">
        <v>2</v>
      </c>
      <c r="D15" s="7">
        <v>10.5</v>
      </c>
      <c r="E15" s="7">
        <v>54600</v>
      </c>
      <c r="G15" t="s">
        <v>186</v>
      </c>
      <c r="H15" s="7">
        <v>54.5</v>
      </c>
      <c r="I15" s="7">
        <v>126650</v>
      </c>
      <c r="J15">
        <v>4</v>
      </c>
      <c r="K15" s="2">
        <v>45758</v>
      </c>
      <c r="L15">
        <f t="shared" si="0"/>
        <v>51</v>
      </c>
      <c r="N15" s="14">
        <f t="shared" si="1"/>
        <v>1.9607843137254902E-2</v>
      </c>
      <c r="O15" s="14">
        <f t="shared" si="2"/>
        <v>5.8823529411764705E-2</v>
      </c>
      <c r="P15" s="14">
        <f t="shared" si="3"/>
        <v>9.3023255813953487E-2</v>
      </c>
      <c r="Q15" s="14">
        <f t="shared" si="4"/>
        <v>9.308283518360376E-2</v>
      </c>
      <c r="R15" s="14">
        <f t="shared" si="5"/>
        <v>9.7848340866071776E-2</v>
      </c>
      <c r="S15" s="14">
        <f t="shared" si="6"/>
        <v>0.36238580441264867</v>
      </c>
      <c r="T15">
        <f t="shared" si="8"/>
        <v>14</v>
      </c>
      <c r="U15" s="13" t="s">
        <v>208</v>
      </c>
      <c r="V15" s="14">
        <v>0.7419558911496662</v>
      </c>
      <c r="W15" t="str">
        <f t="shared" si="7"/>
        <v>Potential Loyalist</v>
      </c>
    </row>
    <row r="16" spans="1:27" x14ac:dyDescent="0.3">
      <c r="A16" s="13" t="s">
        <v>194</v>
      </c>
      <c r="B16" s="2">
        <v>45794</v>
      </c>
      <c r="C16">
        <v>3</v>
      </c>
      <c r="D16" s="7">
        <v>26</v>
      </c>
      <c r="E16" s="7">
        <v>60000</v>
      </c>
      <c r="G16" t="s">
        <v>187</v>
      </c>
      <c r="H16" s="7">
        <v>42</v>
      </c>
      <c r="I16" s="7">
        <v>70000</v>
      </c>
      <c r="J16">
        <v>3</v>
      </c>
      <c r="K16" s="2">
        <v>45732</v>
      </c>
      <c r="L16">
        <f t="shared" si="0"/>
        <v>77</v>
      </c>
      <c r="N16" s="14">
        <f t="shared" si="1"/>
        <v>1.2987012987012988E-2</v>
      </c>
      <c r="O16" s="14">
        <f t="shared" si="2"/>
        <v>3.8961038961038967E-2</v>
      </c>
      <c r="P16" s="14">
        <f t="shared" si="3"/>
        <v>6.9767441860465115E-2</v>
      </c>
      <c r="Q16" s="14">
        <f t="shared" si="4"/>
        <v>7.1733561058923992E-2</v>
      </c>
      <c r="R16" s="14">
        <f t="shared" si="5"/>
        <v>5.4081199057441957E-2</v>
      </c>
      <c r="S16" s="14">
        <f t="shared" si="6"/>
        <v>0.24753025392488304</v>
      </c>
      <c r="T16">
        <f t="shared" si="8"/>
        <v>15</v>
      </c>
      <c r="U16" s="13" t="s">
        <v>225</v>
      </c>
      <c r="V16" s="14">
        <v>0.74087426716851734</v>
      </c>
      <c r="W16" t="str">
        <f t="shared" si="7"/>
        <v>Potential Loyalist</v>
      </c>
    </row>
    <row r="17" spans="1:26" x14ac:dyDescent="0.3">
      <c r="A17" s="13" t="s">
        <v>195</v>
      </c>
      <c r="B17" s="2">
        <v>45804</v>
      </c>
      <c r="C17">
        <v>24</v>
      </c>
      <c r="D17" s="7">
        <v>585.5</v>
      </c>
      <c r="E17" s="7">
        <v>699200</v>
      </c>
      <c r="G17" t="s">
        <v>188</v>
      </c>
      <c r="H17" s="7">
        <v>7</v>
      </c>
      <c r="I17" s="7">
        <v>32900</v>
      </c>
      <c r="J17">
        <v>1</v>
      </c>
      <c r="K17" s="2">
        <v>45749</v>
      </c>
      <c r="L17">
        <f t="shared" si="0"/>
        <v>60</v>
      </c>
      <c r="N17" s="14">
        <f t="shared" si="1"/>
        <v>1.6666666666666666E-2</v>
      </c>
      <c r="O17" s="14">
        <f t="shared" si="2"/>
        <v>0.05</v>
      </c>
      <c r="P17" s="14">
        <f t="shared" si="3"/>
        <v>2.3255813953488372E-2</v>
      </c>
      <c r="Q17" s="14">
        <f t="shared" si="4"/>
        <v>1.1955593509820665E-2</v>
      </c>
      <c r="R17" s="14">
        <f t="shared" si="5"/>
        <v>2.5418163556997719E-2</v>
      </c>
      <c r="S17" s="14">
        <f t="shared" si="6"/>
        <v>0.12729623768697343</v>
      </c>
      <c r="T17">
        <f t="shared" si="8"/>
        <v>16</v>
      </c>
      <c r="U17" s="13" t="s">
        <v>211</v>
      </c>
      <c r="V17" s="14">
        <v>0.7017088026717464</v>
      </c>
      <c r="W17" t="str">
        <f t="shared" si="7"/>
        <v>Potential Loyalist</v>
      </c>
      <c r="Y17" s="8" t="s">
        <v>150</v>
      </c>
      <c r="Z17" t="s">
        <v>131</v>
      </c>
    </row>
    <row r="18" spans="1:26" x14ac:dyDescent="0.3">
      <c r="A18" s="13" t="s">
        <v>196</v>
      </c>
      <c r="B18" s="2">
        <v>45761</v>
      </c>
      <c r="C18">
        <v>10</v>
      </c>
      <c r="D18" s="7">
        <v>67</v>
      </c>
      <c r="E18" s="7">
        <v>226100</v>
      </c>
      <c r="G18" t="s">
        <v>189</v>
      </c>
      <c r="H18" s="7">
        <v>66.5</v>
      </c>
      <c r="I18" s="7">
        <v>132500</v>
      </c>
      <c r="J18">
        <v>4</v>
      </c>
      <c r="K18" s="2">
        <v>45778</v>
      </c>
      <c r="L18">
        <f t="shared" si="0"/>
        <v>31</v>
      </c>
      <c r="N18" s="14">
        <f t="shared" si="1"/>
        <v>3.2258064516129031E-2</v>
      </c>
      <c r="O18" s="14">
        <f t="shared" si="2"/>
        <v>9.6774193548387094E-2</v>
      </c>
      <c r="P18" s="14">
        <f t="shared" si="3"/>
        <v>9.3023255813953487E-2</v>
      </c>
      <c r="Q18" s="14">
        <f t="shared" si="4"/>
        <v>0.11357813834329633</v>
      </c>
      <c r="R18" s="14">
        <f t="shared" si="5"/>
        <v>0.10236798393015799</v>
      </c>
      <c r="S18" s="14">
        <f t="shared" si="6"/>
        <v>0.43800163615192395</v>
      </c>
      <c r="T18">
        <f t="shared" si="8"/>
        <v>17</v>
      </c>
      <c r="U18" s="13" t="s">
        <v>252</v>
      </c>
      <c r="V18" s="14">
        <v>0.6625547407424297</v>
      </c>
      <c r="W18" t="str">
        <f t="shared" si="7"/>
        <v>Potential Loyalist</v>
      </c>
    </row>
    <row r="19" spans="1:26" x14ac:dyDescent="0.3">
      <c r="A19" s="13" t="s">
        <v>197</v>
      </c>
      <c r="B19" s="2">
        <v>45705</v>
      </c>
      <c r="C19">
        <v>2</v>
      </c>
      <c r="D19" s="7">
        <v>12.5</v>
      </c>
      <c r="E19" s="7">
        <v>62500</v>
      </c>
      <c r="G19" t="s">
        <v>190</v>
      </c>
      <c r="H19" s="7">
        <v>55.5</v>
      </c>
      <c r="I19" s="7">
        <v>50000</v>
      </c>
      <c r="J19">
        <v>2</v>
      </c>
      <c r="K19" s="2">
        <v>45730</v>
      </c>
      <c r="L19">
        <f t="shared" si="0"/>
        <v>79</v>
      </c>
      <c r="N19" s="14">
        <f t="shared" si="1"/>
        <v>1.2658227848101266E-2</v>
      </c>
      <c r="O19" s="14">
        <f t="shared" si="2"/>
        <v>3.7974683544303799E-2</v>
      </c>
      <c r="P19" s="14">
        <f t="shared" si="3"/>
        <v>4.6511627906976744E-2</v>
      </c>
      <c r="Q19" s="14">
        <f t="shared" si="4"/>
        <v>9.479077711357814E-2</v>
      </c>
      <c r="R19" s="14">
        <f t="shared" si="5"/>
        <v>3.8629427898172829E-2</v>
      </c>
      <c r="S19" s="14">
        <f t="shared" si="6"/>
        <v>0.23056474431113277</v>
      </c>
      <c r="T19">
        <f t="shared" si="8"/>
        <v>18</v>
      </c>
      <c r="U19" s="13" t="s">
        <v>196</v>
      </c>
      <c r="V19" s="14">
        <v>0.60500585513203808</v>
      </c>
      <c r="W19" t="str">
        <f t="shared" si="7"/>
        <v>Potential Loyalist</v>
      </c>
      <c r="Y19" s="8" t="s">
        <v>100</v>
      </c>
      <c r="Z19" t="s">
        <v>161</v>
      </c>
    </row>
    <row r="20" spans="1:26" x14ac:dyDescent="0.3">
      <c r="A20" s="13" t="s">
        <v>198</v>
      </c>
      <c r="B20" s="2">
        <v>45744</v>
      </c>
      <c r="C20">
        <v>2</v>
      </c>
      <c r="D20" s="7">
        <v>8.5</v>
      </c>
      <c r="E20" s="7">
        <v>39950</v>
      </c>
      <c r="G20" t="s">
        <v>191</v>
      </c>
      <c r="H20" s="7">
        <v>63</v>
      </c>
      <c r="I20" s="7">
        <v>103750</v>
      </c>
      <c r="J20">
        <v>3</v>
      </c>
      <c r="K20" s="2">
        <v>45790</v>
      </c>
      <c r="L20">
        <f t="shared" si="0"/>
        <v>19</v>
      </c>
      <c r="N20" s="14">
        <f t="shared" si="1"/>
        <v>5.2631578947368418E-2</v>
      </c>
      <c r="O20" s="14">
        <f t="shared" si="2"/>
        <v>0.15789473684210525</v>
      </c>
      <c r="P20" s="14">
        <f t="shared" si="3"/>
        <v>6.9767441860465115E-2</v>
      </c>
      <c r="Q20" s="14">
        <f t="shared" si="4"/>
        <v>0.10760034158838599</v>
      </c>
      <c r="R20" s="14">
        <f t="shared" si="5"/>
        <v>8.0156062888708621E-2</v>
      </c>
      <c r="S20" s="14">
        <f t="shared" si="6"/>
        <v>0.46805016212703343</v>
      </c>
      <c r="T20">
        <f t="shared" si="8"/>
        <v>19</v>
      </c>
      <c r="U20" s="13" t="s">
        <v>234</v>
      </c>
      <c r="V20" s="14">
        <v>0.52757616464366819</v>
      </c>
      <c r="W20" t="str">
        <f t="shared" si="7"/>
        <v>Potential Loyalist</v>
      </c>
      <c r="Y20" s="13" t="s">
        <v>158</v>
      </c>
      <c r="Z20">
        <v>14</v>
      </c>
    </row>
    <row r="21" spans="1:26" x14ac:dyDescent="0.3">
      <c r="A21" s="13" t="s">
        <v>199</v>
      </c>
      <c r="B21" s="2">
        <v>45764</v>
      </c>
      <c r="C21">
        <v>1</v>
      </c>
      <c r="D21" s="7">
        <v>4.5</v>
      </c>
      <c r="E21" s="7">
        <v>21150</v>
      </c>
      <c r="G21" t="s">
        <v>192</v>
      </c>
      <c r="H21" s="7">
        <v>47.5</v>
      </c>
      <c r="I21" s="7">
        <v>54800</v>
      </c>
      <c r="J21">
        <v>3</v>
      </c>
      <c r="K21" s="2">
        <v>45749</v>
      </c>
      <c r="L21">
        <f t="shared" si="0"/>
        <v>60</v>
      </c>
      <c r="N21" s="14">
        <f t="shared" si="1"/>
        <v>1.6666666666666666E-2</v>
      </c>
      <c r="O21" s="14">
        <f t="shared" si="2"/>
        <v>0.05</v>
      </c>
      <c r="P21" s="14">
        <f t="shared" si="3"/>
        <v>6.9767441860465115E-2</v>
      </c>
      <c r="Q21" s="14">
        <f t="shared" si="4"/>
        <v>8.1127241673783088E-2</v>
      </c>
      <c r="R21" s="14">
        <f t="shared" si="5"/>
        <v>4.2337852976397417E-2</v>
      </c>
      <c r="S21" s="14">
        <f t="shared" si="6"/>
        <v>0.2598992031773123</v>
      </c>
      <c r="T21">
        <f t="shared" si="8"/>
        <v>20</v>
      </c>
      <c r="U21" s="13" t="s">
        <v>214</v>
      </c>
      <c r="V21" s="14">
        <v>0.51012135033262507</v>
      </c>
      <c r="W21" t="str">
        <f t="shared" si="7"/>
        <v>Potential Loyalist</v>
      </c>
      <c r="Y21" s="13" t="s">
        <v>151</v>
      </c>
      <c r="Z21">
        <v>9</v>
      </c>
    </row>
    <row r="22" spans="1:26" x14ac:dyDescent="0.3">
      <c r="A22" s="13" t="s">
        <v>200</v>
      </c>
      <c r="B22" s="2">
        <v>45759</v>
      </c>
      <c r="C22">
        <v>2</v>
      </c>
      <c r="D22" s="7">
        <v>19</v>
      </c>
      <c r="E22" s="7">
        <v>61100</v>
      </c>
      <c r="G22" t="s">
        <v>193</v>
      </c>
      <c r="H22" s="7">
        <v>10.5</v>
      </c>
      <c r="I22" s="7">
        <v>54600</v>
      </c>
      <c r="J22">
        <v>2</v>
      </c>
      <c r="K22" s="2">
        <v>45692</v>
      </c>
      <c r="L22">
        <f t="shared" si="0"/>
        <v>117</v>
      </c>
      <c r="N22" s="14">
        <f t="shared" si="1"/>
        <v>8.5470085470085479E-3</v>
      </c>
      <c r="O22" s="14">
        <f t="shared" si="2"/>
        <v>2.5641025641025644E-2</v>
      </c>
      <c r="P22" s="14">
        <f t="shared" si="3"/>
        <v>4.6511627906976744E-2</v>
      </c>
      <c r="Q22" s="14">
        <f t="shared" si="4"/>
        <v>1.7933390264730998E-2</v>
      </c>
      <c r="R22" s="14">
        <f t="shared" si="5"/>
        <v>4.2183335264804729E-2</v>
      </c>
      <c r="S22" s="14">
        <f t="shared" si="6"/>
        <v>0.14081638762454665</v>
      </c>
      <c r="T22">
        <f t="shared" si="8"/>
        <v>21</v>
      </c>
      <c r="U22" s="13" t="s">
        <v>191</v>
      </c>
      <c r="V22" s="14">
        <v>0.46805016212703343</v>
      </c>
      <c r="W22" t="str">
        <f t="shared" si="7"/>
        <v>Potential Loyalist</v>
      </c>
      <c r="Y22" s="13" t="s">
        <v>156</v>
      </c>
      <c r="Z22">
        <v>41</v>
      </c>
    </row>
    <row r="23" spans="1:26" x14ac:dyDescent="0.3">
      <c r="A23" s="13" t="s">
        <v>201</v>
      </c>
      <c r="B23" s="2">
        <v>45780</v>
      </c>
      <c r="C23">
        <v>1</v>
      </c>
      <c r="D23" s="7">
        <v>6</v>
      </c>
      <c r="E23" s="7">
        <v>28200</v>
      </c>
      <c r="G23" t="s">
        <v>194</v>
      </c>
      <c r="H23" s="7">
        <v>26</v>
      </c>
      <c r="I23" s="7">
        <v>60000</v>
      </c>
      <c r="J23">
        <v>3</v>
      </c>
      <c r="K23" s="2">
        <v>45794</v>
      </c>
      <c r="L23">
        <f t="shared" si="0"/>
        <v>15</v>
      </c>
      <c r="N23" s="14">
        <f t="shared" si="1"/>
        <v>6.6666666666666666E-2</v>
      </c>
      <c r="O23" s="14">
        <f t="shared" si="2"/>
        <v>0.2</v>
      </c>
      <c r="P23" s="14">
        <f t="shared" si="3"/>
        <v>6.9767441860465115E-2</v>
      </c>
      <c r="Q23" s="14">
        <f t="shared" si="4"/>
        <v>4.4406490179333902E-2</v>
      </c>
      <c r="R23" s="14">
        <f t="shared" si="5"/>
        <v>4.6355313477807393E-2</v>
      </c>
      <c r="S23" s="14">
        <f t="shared" si="6"/>
        <v>0.42719591218427311</v>
      </c>
      <c r="T23">
        <f t="shared" si="8"/>
        <v>22</v>
      </c>
      <c r="U23" s="13" t="s">
        <v>180</v>
      </c>
      <c r="V23" s="14">
        <v>0.45664449293929926</v>
      </c>
      <c r="W23" t="str">
        <f t="shared" si="7"/>
        <v>Potential Loyalist</v>
      </c>
      <c r="Y23" s="13" t="s">
        <v>154</v>
      </c>
      <c r="Z23">
        <v>17</v>
      </c>
    </row>
    <row r="24" spans="1:26" x14ac:dyDescent="0.3">
      <c r="A24" s="13" t="s">
        <v>175</v>
      </c>
      <c r="B24" s="2">
        <v>45761</v>
      </c>
      <c r="C24">
        <v>2</v>
      </c>
      <c r="D24" s="7">
        <v>12.5</v>
      </c>
      <c r="E24" s="7">
        <v>62500</v>
      </c>
      <c r="G24" t="s">
        <v>195</v>
      </c>
      <c r="H24" s="7">
        <v>585.5</v>
      </c>
      <c r="I24" s="7">
        <v>699200</v>
      </c>
      <c r="J24">
        <v>24</v>
      </c>
      <c r="K24" s="2">
        <v>45804</v>
      </c>
      <c r="L24">
        <f t="shared" si="0"/>
        <v>5</v>
      </c>
      <c r="N24" s="14">
        <f t="shared" si="1"/>
        <v>0.2</v>
      </c>
      <c r="O24" s="14">
        <f t="shared" si="2"/>
        <v>0.60000000000000009</v>
      </c>
      <c r="P24" s="14">
        <f t="shared" si="3"/>
        <v>0.55813953488372092</v>
      </c>
      <c r="Q24" s="14">
        <f t="shared" si="4"/>
        <v>1</v>
      </c>
      <c r="R24" s="14">
        <f t="shared" si="5"/>
        <v>0.54019391972804887</v>
      </c>
      <c r="S24" s="14">
        <f t="shared" si="6"/>
        <v>2.8983334546117696</v>
      </c>
      <c r="T24">
        <f t="shared" si="8"/>
        <v>23</v>
      </c>
      <c r="U24" s="13" t="s">
        <v>221</v>
      </c>
      <c r="V24" s="14">
        <v>0.45184242067858799</v>
      </c>
      <c r="W24" t="str">
        <f t="shared" si="7"/>
        <v>Potential Loyalist</v>
      </c>
      <c r="Y24" s="13" t="s">
        <v>99</v>
      </c>
      <c r="Z24">
        <v>81</v>
      </c>
    </row>
    <row r="25" spans="1:26" x14ac:dyDescent="0.3">
      <c r="A25" s="13" t="s">
        <v>202</v>
      </c>
      <c r="B25" s="2">
        <v>45805</v>
      </c>
      <c r="C25">
        <v>5</v>
      </c>
      <c r="D25" s="7">
        <v>72</v>
      </c>
      <c r="E25" s="7">
        <v>122200</v>
      </c>
      <c r="G25" t="s">
        <v>196</v>
      </c>
      <c r="H25" s="7">
        <v>67</v>
      </c>
      <c r="I25" s="7">
        <v>226100</v>
      </c>
      <c r="J25">
        <v>10</v>
      </c>
      <c r="K25" s="2">
        <v>45761</v>
      </c>
      <c r="L25">
        <f t="shared" si="0"/>
        <v>48</v>
      </c>
      <c r="N25" s="14">
        <f t="shared" si="1"/>
        <v>2.0833333333333332E-2</v>
      </c>
      <c r="O25" s="14">
        <f t="shared" si="2"/>
        <v>6.25E-2</v>
      </c>
      <c r="P25" s="14">
        <f t="shared" si="3"/>
        <v>0.23255813953488372</v>
      </c>
      <c r="Q25" s="14">
        <f t="shared" si="4"/>
        <v>0.11443210930828351</v>
      </c>
      <c r="R25" s="14">
        <f t="shared" si="5"/>
        <v>0.17468227295553754</v>
      </c>
      <c r="S25" s="14">
        <f t="shared" si="6"/>
        <v>0.60500585513203808</v>
      </c>
      <c r="T25">
        <f t="shared" si="8"/>
        <v>24</v>
      </c>
      <c r="U25" s="13" t="s">
        <v>189</v>
      </c>
      <c r="V25" s="14">
        <v>0.43800163615192395</v>
      </c>
      <c r="W25" t="str">
        <f t="shared" si="7"/>
        <v>Potential Loyalist</v>
      </c>
    </row>
    <row r="26" spans="1:26" x14ac:dyDescent="0.3">
      <c r="A26" s="13" t="s">
        <v>203</v>
      </c>
      <c r="B26" s="2">
        <v>45790</v>
      </c>
      <c r="C26">
        <v>1</v>
      </c>
      <c r="D26" s="7">
        <v>14</v>
      </c>
      <c r="E26" s="7">
        <v>32900</v>
      </c>
      <c r="G26" t="s">
        <v>197</v>
      </c>
      <c r="H26" s="7">
        <v>12.5</v>
      </c>
      <c r="I26" s="7">
        <v>62500</v>
      </c>
      <c r="J26">
        <v>2</v>
      </c>
      <c r="K26" s="2">
        <v>45705</v>
      </c>
      <c r="L26">
        <f t="shared" si="0"/>
        <v>104</v>
      </c>
      <c r="N26" s="14">
        <f t="shared" si="1"/>
        <v>9.6153846153846159E-3</v>
      </c>
      <c r="O26" s="14">
        <f t="shared" si="2"/>
        <v>2.8846153846153848E-2</v>
      </c>
      <c r="P26" s="14">
        <f t="shared" si="3"/>
        <v>4.6511627906976744E-2</v>
      </c>
      <c r="Q26" s="14">
        <f t="shared" si="4"/>
        <v>2.1349274124679761E-2</v>
      </c>
      <c r="R26" s="14">
        <f t="shared" si="5"/>
        <v>4.8286784872716038E-2</v>
      </c>
      <c r="S26" s="14">
        <f t="shared" si="6"/>
        <v>0.15460922536591101</v>
      </c>
      <c r="T26">
        <f t="shared" si="8"/>
        <v>25</v>
      </c>
      <c r="U26" s="13" t="s">
        <v>194</v>
      </c>
      <c r="V26" s="14">
        <v>0.42719591218427311</v>
      </c>
      <c r="W26" t="str">
        <f t="shared" si="7"/>
        <v>Potential Loyalist</v>
      </c>
    </row>
    <row r="27" spans="1:26" x14ac:dyDescent="0.3">
      <c r="A27" s="13" t="s">
        <v>204</v>
      </c>
      <c r="B27" s="2">
        <v>45760</v>
      </c>
      <c r="C27">
        <v>1</v>
      </c>
      <c r="D27" s="7">
        <v>3</v>
      </c>
      <c r="E27" s="7">
        <v>15000</v>
      </c>
      <c r="G27" t="s">
        <v>198</v>
      </c>
      <c r="H27" s="7">
        <v>8.5</v>
      </c>
      <c r="I27" s="7">
        <v>39950</v>
      </c>
      <c r="J27">
        <v>2</v>
      </c>
      <c r="K27" s="2">
        <v>45744</v>
      </c>
      <c r="L27">
        <f t="shared" si="0"/>
        <v>65</v>
      </c>
      <c r="N27" s="14">
        <f t="shared" si="1"/>
        <v>1.5384615384615385E-2</v>
      </c>
      <c r="O27" s="14">
        <f t="shared" si="2"/>
        <v>4.6153846153846156E-2</v>
      </c>
      <c r="P27" s="14">
        <f t="shared" si="3"/>
        <v>4.6511627906976744E-2</v>
      </c>
      <c r="Q27" s="14">
        <f t="shared" si="4"/>
        <v>1.4517506404782237E-2</v>
      </c>
      <c r="R27" s="14">
        <f t="shared" si="5"/>
        <v>3.0864912890640091E-2</v>
      </c>
      <c r="S27" s="14">
        <f t="shared" si="6"/>
        <v>0.15343250874086062</v>
      </c>
      <c r="T27">
        <f t="shared" si="8"/>
        <v>26</v>
      </c>
      <c r="U27" s="13" t="s">
        <v>212</v>
      </c>
      <c r="V27" s="14">
        <v>0.4190633048282556</v>
      </c>
      <c r="W27" t="str">
        <f t="shared" si="7"/>
        <v>Potential Loyalist</v>
      </c>
    </row>
    <row r="28" spans="1:26" x14ac:dyDescent="0.3">
      <c r="A28" s="13" t="s">
        <v>205</v>
      </c>
      <c r="B28" s="2">
        <v>45724</v>
      </c>
      <c r="C28">
        <v>3</v>
      </c>
      <c r="D28" s="7">
        <v>13</v>
      </c>
      <c r="E28" s="7">
        <v>52000</v>
      </c>
      <c r="G28" t="s">
        <v>199</v>
      </c>
      <c r="H28" s="7">
        <v>4.5</v>
      </c>
      <c r="I28" s="7">
        <v>21150</v>
      </c>
      <c r="J28">
        <v>1</v>
      </c>
      <c r="K28" s="2">
        <v>45764</v>
      </c>
      <c r="L28">
        <f t="shared" si="0"/>
        <v>45</v>
      </c>
      <c r="N28" s="14">
        <f t="shared" si="1"/>
        <v>2.2222222222222223E-2</v>
      </c>
      <c r="O28" s="14">
        <f t="shared" si="2"/>
        <v>6.666666666666668E-2</v>
      </c>
      <c r="P28" s="14">
        <f t="shared" si="3"/>
        <v>2.3255813953488372E-2</v>
      </c>
      <c r="Q28" s="14">
        <f t="shared" si="4"/>
        <v>7.6857386848847142E-3</v>
      </c>
      <c r="R28" s="14">
        <f t="shared" si="5"/>
        <v>1.6340248000927107E-2</v>
      </c>
      <c r="S28" s="14">
        <f t="shared" si="6"/>
        <v>0.13617068952818911</v>
      </c>
      <c r="T28">
        <f t="shared" si="8"/>
        <v>27</v>
      </c>
      <c r="U28" s="13" t="s">
        <v>249</v>
      </c>
      <c r="V28" s="14">
        <v>0.38287300746235958</v>
      </c>
      <c r="W28" t="str">
        <f t="shared" si="7"/>
        <v>Need Attention</v>
      </c>
    </row>
    <row r="29" spans="1:26" x14ac:dyDescent="0.3">
      <c r="A29" s="13" t="s">
        <v>206</v>
      </c>
      <c r="B29" s="2">
        <v>45780</v>
      </c>
      <c r="C29">
        <v>2</v>
      </c>
      <c r="D29" s="7">
        <v>20</v>
      </c>
      <c r="E29" s="7">
        <v>61100</v>
      </c>
      <c r="G29" t="s">
        <v>200</v>
      </c>
      <c r="H29" s="7">
        <v>19</v>
      </c>
      <c r="I29" s="7">
        <v>61100</v>
      </c>
      <c r="J29">
        <v>2</v>
      </c>
      <c r="K29" s="2">
        <v>45759</v>
      </c>
      <c r="L29">
        <f t="shared" si="0"/>
        <v>50</v>
      </c>
      <c r="N29" s="14">
        <f t="shared" si="1"/>
        <v>0.02</v>
      </c>
      <c r="O29" s="14">
        <f t="shared" si="2"/>
        <v>6.0000000000000005E-2</v>
      </c>
      <c r="P29" s="14">
        <f t="shared" si="3"/>
        <v>4.6511627906976744E-2</v>
      </c>
      <c r="Q29" s="14">
        <f t="shared" si="4"/>
        <v>3.2450896669513236E-2</v>
      </c>
      <c r="R29" s="14">
        <f t="shared" si="5"/>
        <v>4.7205160891567198E-2</v>
      </c>
      <c r="S29" s="14">
        <f t="shared" si="6"/>
        <v>0.20616768546805717</v>
      </c>
      <c r="T29">
        <f t="shared" si="8"/>
        <v>28</v>
      </c>
      <c r="U29" s="13" t="s">
        <v>226</v>
      </c>
      <c r="V29" s="14">
        <v>0.37530075055667306</v>
      </c>
      <c r="W29" t="str">
        <f t="shared" si="7"/>
        <v>Need Attention</v>
      </c>
    </row>
    <row r="30" spans="1:26" x14ac:dyDescent="0.3">
      <c r="A30" s="13" t="s">
        <v>207</v>
      </c>
      <c r="B30" s="2">
        <v>45786</v>
      </c>
      <c r="C30">
        <v>1</v>
      </c>
      <c r="D30" s="7">
        <v>7</v>
      </c>
      <c r="E30" s="7">
        <v>28000</v>
      </c>
      <c r="G30" t="s">
        <v>201</v>
      </c>
      <c r="H30" s="7">
        <v>6</v>
      </c>
      <c r="I30" s="7">
        <v>28200</v>
      </c>
      <c r="J30">
        <v>1</v>
      </c>
      <c r="K30" s="2">
        <v>45780</v>
      </c>
      <c r="L30">
        <f t="shared" si="0"/>
        <v>29</v>
      </c>
      <c r="N30" s="14">
        <f t="shared" si="1"/>
        <v>3.4482758620689655E-2</v>
      </c>
      <c r="O30" s="14">
        <f t="shared" si="2"/>
        <v>0.10344827586206896</v>
      </c>
      <c r="P30" s="14">
        <f t="shared" si="3"/>
        <v>2.3255813953488372E-2</v>
      </c>
      <c r="Q30" s="14">
        <f t="shared" si="4"/>
        <v>1.0247651579846286E-2</v>
      </c>
      <c r="R30" s="14">
        <f t="shared" si="5"/>
        <v>2.1786997334569475E-2</v>
      </c>
      <c r="S30" s="14">
        <f t="shared" si="6"/>
        <v>0.19322149735066274</v>
      </c>
      <c r="T30">
        <f t="shared" si="8"/>
        <v>29</v>
      </c>
      <c r="U30" s="13" t="s">
        <v>227</v>
      </c>
      <c r="V30" s="14">
        <v>0.36316169874464665</v>
      </c>
      <c r="W30" t="str">
        <f t="shared" si="7"/>
        <v>Need Attention</v>
      </c>
    </row>
    <row r="31" spans="1:26" x14ac:dyDescent="0.3">
      <c r="A31" s="13" t="s">
        <v>208</v>
      </c>
      <c r="B31" s="2">
        <v>45803</v>
      </c>
      <c r="C31">
        <v>1</v>
      </c>
      <c r="D31" s="7">
        <v>14</v>
      </c>
      <c r="E31" s="7">
        <v>36400</v>
      </c>
      <c r="G31" t="s">
        <v>202</v>
      </c>
      <c r="H31" s="7">
        <v>72</v>
      </c>
      <c r="I31" s="7">
        <v>122200</v>
      </c>
      <c r="J31">
        <v>5</v>
      </c>
      <c r="K31" s="2">
        <v>45805</v>
      </c>
      <c r="L31">
        <f t="shared" si="0"/>
        <v>4</v>
      </c>
      <c r="N31" s="14">
        <f t="shared" si="1"/>
        <v>0.25</v>
      </c>
      <c r="O31" s="14">
        <f t="shared" si="2"/>
        <v>0.75</v>
      </c>
      <c r="P31" s="14">
        <f t="shared" si="3"/>
        <v>0.11627906976744186</v>
      </c>
      <c r="Q31" s="14">
        <f t="shared" si="4"/>
        <v>0.12297181895815543</v>
      </c>
      <c r="R31" s="14">
        <f t="shared" si="5"/>
        <v>9.4410321783134396E-2</v>
      </c>
      <c r="S31" s="14">
        <f t="shared" si="6"/>
        <v>1.3336612105087318</v>
      </c>
      <c r="T31">
        <f t="shared" si="8"/>
        <v>30</v>
      </c>
      <c r="U31" s="13" t="s">
        <v>186</v>
      </c>
      <c r="V31" s="14">
        <v>0.36238580441264867</v>
      </c>
      <c r="W31" t="str">
        <f t="shared" si="7"/>
        <v>Need Attention</v>
      </c>
    </row>
    <row r="32" spans="1:26" x14ac:dyDescent="0.3">
      <c r="A32" s="13" t="s">
        <v>209</v>
      </c>
      <c r="B32" s="2">
        <v>45727</v>
      </c>
      <c r="C32">
        <v>2</v>
      </c>
      <c r="D32" s="7">
        <v>29</v>
      </c>
      <c r="E32" s="7">
        <v>70550</v>
      </c>
      <c r="G32" t="s">
        <v>203</v>
      </c>
      <c r="H32" s="7">
        <v>14</v>
      </c>
      <c r="I32" s="7">
        <v>32900</v>
      </c>
      <c r="J32">
        <v>1</v>
      </c>
      <c r="K32" s="2">
        <v>45790</v>
      </c>
      <c r="L32">
        <f t="shared" si="0"/>
        <v>19</v>
      </c>
      <c r="N32" s="14">
        <f t="shared" si="1"/>
        <v>5.2631578947368418E-2</v>
      </c>
      <c r="O32" s="14">
        <f t="shared" si="2"/>
        <v>0.15789473684210525</v>
      </c>
      <c r="P32" s="14">
        <f t="shared" si="3"/>
        <v>2.3255813953488372E-2</v>
      </c>
      <c r="Q32" s="14">
        <f t="shared" si="4"/>
        <v>2.3911187019641331E-2</v>
      </c>
      <c r="R32" s="14">
        <f t="shared" si="5"/>
        <v>2.5418163556997719E-2</v>
      </c>
      <c r="S32" s="14">
        <f t="shared" si="6"/>
        <v>0.28311148031960109</v>
      </c>
      <c r="T32">
        <f t="shared" si="8"/>
        <v>31</v>
      </c>
      <c r="U32" s="13" t="s">
        <v>231</v>
      </c>
      <c r="V32" s="14">
        <v>0.35063750216702555</v>
      </c>
      <c r="W32" t="str">
        <f t="shared" si="7"/>
        <v>Need Attention</v>
      </c>
    </row>
    <row r="33" spans="1:23" x14ac:dyDescent="0.3">
      <c r="A33" s="13" t="s">
        <v>210</v>
      </c>
      <c r="B33" s="2">
        <v>45739</v>
      </c>
      <c r="C33">
        <v>2</v>
      </c>
      <c r="D33" s="7">
        <v>16</v>
      </c>
      <c r="E33" s="7">
        <v>51700</v>
      </c>
      <c r="G33" t="s">
        <v>204</v>
      </c>
      <c r="H33" s="7">
        <v>3</v>
      </c>
      <c r="I33" s="7">
        <v>15000</v>
      </c>
      <c r="J33">
        <v>1</v>
      </c>
      <c r="K33" s="2">
        <v>45760</v>
      </c>
      <c r="L33">
        <f t="shared" si="0"/>
        <v>49</v>
      </c>
      <c r="N33" s="14">
        <f t="shared" si="1"/>
        <v>2.0408163265306121E-2</v>
      </c>
      <c r="O33" s="14">
        <f t="shared" si="2"/>
        <v>6.1224489795918366E-2</v>
      </c>
      <c r="P33" s="14">
        <f t="shared" si="3"/>
        <v>2.3255813953488372E-2</v>
      </c>
      <c r="Q33" s="14">
        <f t="shared" si="4"/>
        <v>5.1238257899231428E-3</v>
      </c>
      <c r="R33" s="14">
        <f t="shared" si="5"/>
        <v>1.1588828369451848E-2</v>
      </c>
      <c r="S33" s="14">
        <f t="shared" si="6"/>
        <v>0.12160112117408785</v>
      </c>
      <c r="T33">
        <f t="shared" si="8"/>
        <v>32</v>
      </c>
      <c r="U33" s="13" t="s">
        <v>250</v>
      </c>
      <c r="V33" s="14">
        <v>0.33481612119241999</v>
      </c>
      <c r="W33" t="str">
        <f t="shared" si="7"/>
        <v>Need Attention</v>
      </c>
    </row>
    <row r="34" spans="1:23" x14ac:dyDescent="0.3">
      <c r="A34" s="13" t="s">
        <v>211</v>
      </c>
      <c r="B34" s="2">
        <v>45791</v>
      </c>
      <c r="C34">
        <v>10</v>
      </c>
      <c r="D34" s="7">
        <v>62</v>
      </c>
      <c r="E34" s="7">
        <v>182550</v>
      </c>
      <c r="G34" t="s">
        <v>205</v>
      </c>
      <c r="H34" s="7">
        <v>13</v>
      </c>
      <c r="I34" s="7">
        <v>52000</v>
      </c>
      <c r="J34">
        <v>3</v>
      </c>
      <c r="K34" s="2">
        <v>45724</v>
      </c>
      <c r="L34">
        <f t="shared" si="0"/>
        <v>85</v>
      </c>
      <c r="N34" s="14">
        <f t="shared" si="1"/>
        <v>1.1764705882352941E-2</v>
      </c>
      <c r="O34" s="14">
        <f t="shared" si="2"/>
        <v>3.5294117647058823E-2</v>
      </c>
      <c r="P34" s="14">
        <f t="shared" si="3"/>
        <v>6.9767441860465115E-2</v>
      </c>
      <c r="Q34" s="14">
        <f t="shared" si="4"/>
        <v>2.2203245089666951E-2</v>
      </c>
      <c r="R34" s="14">
        <f t="shared" si="5"/>
        <v>4.0174605014099744E-2</v>
      </c>
      <c r="S34" s="14">
        <f t="shared" si="6"/>
        <v>0.17920411549364357</v>
      </c>
      <c r="T34">
        <f t="shared" si="8"/>
        <v>33</v>
      </c>
      <c r="U34" s="13" t="s">
        <v>224</v>
      </c>
      <c r="V34" s="14">
        <v>0.28707691245933681</v>
      </c>
      <c r="W34" t="str">
        <f t="shared" si="7"/>
        <v>Need Attention</v>
      </c>
    </row>
    <row r="35" spans="1:23" x14ac:dyDescent="0.3">
      <c r="A35" s="13" t="s">
        <v>176</v>
      </c>
      <c r="B35" s="2">
        <v>45742</v>
      </c>
      <c r="C35">
        <v>11</v>
      </c>
      <c r="D35" s="7">
        <v>247.5</v>
      </c>
      <c r="E35" s="7">
        <v>361400</v>
      </c>
      <c r="G35" t="s">
        <v>206</v>
      </c>
      <c r="H35" s="7">
        <v>20</v>
      </c>
      <c r="I35" s="7">
        <v>61100</v>
      </c>
      <c r="J35">
        <v>2</v>
      </c>
      <c r="K35" s="2">
        <v>45780</v>
      </c>
      <c r="L35">
        <f t="shared" si="0"/>
        <v>29</v>
      </c>
      <c r="N35" s="14">
        <f t="shared" si="1"/>
        <v>3.4482758620689655E-2</v>
      </c>
      <c r="O35" s="14">
        <f t="shared" si="2"/>
        <v>0.10344827586206896</v>
      </c>
      <c r="P35" s="14">
        <f t="shared" si="3"/>
        <v>4.6511627906976744E-2</v>
      </c>
      <c r="Q35" s="14">
        <f t="shared" si="4"/>
        <v>3.4158838599487616E-2</v>
      </c>
      <c r="R35" s="14">
        <f t="shared" si="5"/>
        <v>4.7205160891567198E-2</v>
      </c>
      <c r="S35" s="14">
        <f t="shared" si="6"/>
        <v>0.26580666188079016</v>
      </c>
      <c r="T35">
        <f t="shared" si="8"/>
        <v>34</v>
      </c>
      <c r="U35" s="13" t="s">
        <v>203</v>
      </c>
      <c r="V35" s="14">
        <v>0.28311148031960109</v>
      </c>
      <c r="W35" t="str">
        <f t="shared" si="7"/>
        <v>Need Attention</v>
      </c>
    </row>
    <row r="36" spans="1:23" x14ac:dyDescent="0.3">
      <c r="A36" s="13" t="s">
        <v>212</v>
      </c>
      <c r="B36" s="2">
        <v>45794</v>
      </c>
      <c r="C36">
        <v>2</v>
      </c>
      <c r="D36" s="7">
        <v>33</v>
      </c>
      <c r="E36" s="7">
        <v>64100</v>
      </c>
      <c r="G36" t="s">
        <v>207</v>
      </c>
      <c r="H36" s="7">
        <v>7</v>
      </c>
      <c r="I36" s="7">
        <v>28000</v>
      </c>
      <c r="J36">
        <v>1</v>
      </c>
      <c r="K36" s="2">
        <v>45786</v>
      </c>
      <c r="L36">
        <f t="shared" si="0"/>
        <v>23</v>
      </c>
      <c r="N36" s="14">
        <f t="shared" si="1"/>
        <v>4.3478260869565216E-2</v>
      </c>
      <c r="O36" s="14">
        <f t="shared" si="2"/>
        <v>0.13043478260869565</v>
      </c>
      <c r="P36" s="14">
        <f t="shared" si="3"/>
        <v>2.3255813953488372E-2</v>
      </c>
      <c r="Q36" s="14">
        <f t="shared" si="4"/>
        <v>1.1955593509820665E-2</v>
      </c>
      <c r="R36" s="14">
        <f t="shared" si="5"/>
        <v>2.1632479622976784E-2</v>
      </c>
      <c r="S36" s="14">
        <f t="shared" si="6"/>
        <v>0.23075693056454669</v>
      </c>
      <c r="T36">
        <f t="shared" si="8"/>
        <v>35</v>
      </c>
      <c r="U36" s="13" t="s">
        <v>183</v>
      </c>
      <c r="V36" s="14">
        <v>0.27425369241556391</v>
      </c>
      <c r="W36" t="str">
        <f t="shared" si="7"/>
        <v>Need Attention</v>
      </c>
    </row>
    <row r="37" spans="1:23" x14ac:dyDescent="0.3">
      <c r="A37" s="13" t="s">
        <v>213</v>
      </c>
      <c r="B37" s="2">
        <v>45799</v>
      </c>
      <c r="C37">
        <v>6</v>
      </c>
      <c r="D37" s="7">
        <v>168.75</v>
      </c>
      <c r="E37" s="7">
        <v>178750</v>
      </c>
      <c r="G37" t="s">
        <v>208</v>
      </c>
      <c r="H37" s="7">
        <v>14</v>
      </c>
      <c r="I37" s="7">
        <v>36400</v>
      </c>
      <c r="J37">
        <v>1</v>
      </c>
      <c r="K37" s="2">
        <v>45803</v>
      </c>
      <c r="L37">
        <f t="shared" si="0"/>
        <v>6</v>
      </c>
      <c r="N37" s="14">
        <f t="shared" si="1"/>
        <v>0.16666666666666666</v>
      </c>
      <c r="O37" s="14">
        <f t="shared" si="2"/>
        <v>0.5</v>
      </c>
      <c r="P37" s="14">
        <f t="shared" si="3"/>
        <v>2.3255813953488372E-2</v>
      </c>
      <c r="Q37" s="14">
        <f t="shared" si="4"/>
        <v>2.3911187019641331E-2</v>
      </c>
      <c r="R37" s="14">
        <f t="shared" si="5"/>
        <v>2.8122223509869818E-2</v>
      </c>
      <c r="S37" s="14">
        <f t="shared" si="6"/>
        <v>0.7419558911496662</v>
      </c>
      <c r="T37">
        <f t="shared" si="8"/>
        <v>36</v>
      </c>
      <c r="U37" s="13" t="s">
        <v>215</v>
      </c>
      <c r="V37" s="14">
        <v>0.27160519961674351</v>
      </c>
      <c r="W37" t="str">
        <f t="shared" si="7"/>
        <v>Need Attention</v>
      </c>
    </row>
    <row r="38" spans="1:23" x14ac:dyDescent="0.3">
      <c r="A38" s="13" t="s">
        <v>214</v>
      </c>
      <c r="B38" s="2">
        <v>45720</v>
      </c>
      <c r="C38">
        <v>6</v>
      </c>
      <c r="D38" s="7">
        <v>112</v>
      </c>
      <c r="E38" s="7">
        <v>173900</v>
      </c>
      <c r="G38" t="s">
        <v>209</v>
      </c>
      <c r="H38" s="7">
        <v>29</v>
      </c>
      <c r="I38" s="7">
        <v>70550</v>
      </c>
      <c r="J38">
        <v>2</v>
      </c>
      <c r="K38" s="2">
        <v>45727</v>
      </c>
      <c r="L38">
        <f t="shared" si="0"/>
        <v>82</v>
      </c>
      <c r="N38" s="14">
        <f t="shared" si="1"/>
        <v>1.2195121951219513E-2</v>
      </c>
      <c r="O38" s="14">
        <f t="shared" si="2"/>
        <v>3.6585365853658541E-2</v>
      </c>
      <c r="P38" s="14">
        <f t="shared" si="3"/>
        <v>4.6511627906976744E-2</v>
      </c>
      <c r="Q38" s="14">
        <f t="shared" si="4"/>
        <v>4.9530315969257048E-2</v>
      </c>
      <c r="R38" s="14">
        <f t="shared" si="5"/>
        <v>5.450612276432186E-2</v>
      </c>
      <c r="S38" s="14">
        <f t="shared" si="6"/>
        <v>0.19932855444543368</v>
      </c>
      <c r="T38">
        <f t="shared" si="8"/>
        <v>37</v>
      </c>
      <c r="U38" s="13" t="s">
        <v>220</v>
      </c>
      <c r="V38" s="14">
        <v>0.27071878012900469</v>
      </c>
      <c r="W38" t="str">
        <f t="shared" si="7"/>
        <v>Need Attention</v>
      </c>
    </row>
    <row r="39" spans="1:23" x14ac:dyDescent="0.3">
      <c r="A39" s="13" t="s">
        <v>215</v>
      </c>
      <c r="B39" s="2">
        <v>45780</v>
      </c>
      <c r="C39">
        <v>2</v>
      </c>
      <c r="D39" s="7">
        <v>20.5</v>
      </c>
      <c r="E39" s="7">
        <v>67500</v>
      </c>
      <c r="G39" t="s">
        <v>210</v>
      </c>
      <c r="H39" s="7">
        <v>16</v>
      </c>
      <c r="I39" s="7">
        <v>51700</v>
      </c>
      <c r="J39">
        <v>2</v>
      </c>
      <c r="K39" s="2">
        <v>45739</v>
      </c>
      <c r="L39">
        <f t="shared" si="0"/>
        <v>70</v>
      </c>
      <c r="N39" s="14">
        <f t="shared" si="1"/>
        <v>1.4285714285714285E-2</v>
      </c>
      <c r="O39" s="14">
        <f t="shared" si="2"/>
        <v>4.2857142857142858E-2</v>
      </c>
      <c r="P39" s="14">
        <f t="shared" si="3"/>
        <v>4.6511627906976744E-2</v>
      </c>
      <c r="Q39" s="14">
        <f t="shared" si="4"/>
        <v>2.7327070879590094E-2</v>
      </c>
      <c r="R39" s="14">
        <f t="shared" si="5"/>
        <v>3.9942828446710703E-2</v>
      </c>
      <c r="S39" s="14">
        <f t="shared" si="6"/>
        <v>0.17092438437613469</v>
      </c>
      <c r="T39">
        <f t="shared" si="8"/>
        <v>38</v>
      </c>
      <c r="U39" s="13" t="s">
        <v>178</v>
      </c>
      <c r="V39" s="14">
        <v>0.26809511768076166</v>
      </c>
      <c r="W39" t="str">
        <f t="shared" si="7"/>
        <v>Need Attention</v>
      </c>
    </row>
    <row r="40" spans="1:23" x14ac:dyDescent="0.3">
      <c r="A40" s="13" t="s">
        <v>216</v>
      </c>
      <c r="B40" s="2">
        <v>45736</v>
      </c>
      <c r="C40">
        <v>1</v>
      </c>
      <c r="D40" s="7">
        <v>7</v>
      </c>
      <c r="E40" s="7">
        <v>35000</v>
      </c>
      <c r="G40" t="s">
        <v>211</v>
      </c>
      <c r="H40" s="7">
        <v>62</v>
      </c>
      <c r="I40" s="7">
        <v>182550</v>
      </c>
      <c r="J40">
        <v>10</v>
      </c>
      <c r="K40" s="2">
        <v>45791</v>
      </c>
      <c r="L40">
        <f t="shared" si="0"/>
        <v>18</v>
      </c>
      <c r="N40" s="14">
        <f t="shared" si="1"/>
        <v>5.5555555555555552E-2</v>
      </c>
      <c r="O40" s="14">
        <f t="shared" si="2"/>
        <v>0.16666666666666666</v>
      </c>
      <c r="P40" s="14">
        <f t="shared" si="3"/>
        <v>0.23255813953488372</v>
      </c>
      <c r="Q40" s="14">
        <f t="shared" si="4"/>
        <v>0.10589239965841162</v>
      </c>
      <c r="R40" s="14">
        <f t="shared" si="5"/>
        <v>0.14103604125622898</v>
      </c>
      <c r="S40" s="14">
        <f t="shared" si="6"/>
        <v>0.7017088026717464</v>
      </c>
      <c r="T40">
        <f t="shared" si="8"/>
        <v>39</v>
      </c>
      <c r="U40" s="13" t="s">
        <v>206</v>
      </c>
      <c r="V40" s="14">
        <v>0.26580666188079016</v>
      </c>
      <c r="W40" t="str">
        <f t="shared" si="7"/>
        <v>Need Attention</v>
      </c>
    </row>
    <row r="41" spans="1:23" x14ac:dyDescent="0.3">
      <c r="A41" s="13" t="s">
        <v>217</v>
      </c>
      <c r="B41" s="2">
        <v>45767</v>
      </c>
      <c r="C41">
        <v>1</v>
      </c>
      <c r="D41" s="7">
        <v>14</v>
      </c>
      <c r="E41" s="7">
        <v>35000</v>
      </c>
      <c r="G41" t="s">
        <v>212</v>
      </c>
      <c r="H41" s="7">
        <v>33</v>
      </c>
      <c r="I41" s="7">
        <v>64100</v>
      </c>
      <c r="J41">
        <v>2</v>
      </c>
      <c r="K41" s="2">
        <v>45794</v>
      </c>
      <c r="L41">
        <f t="shared" si="0"/>
        <v>15</v>
      </c>
      <c r="N41" s="14">
        <f t="shared" si="1"/>
        <v>6.6666666666666666E-2</v>
      </c>
      <c r="O41" s="14">
        <f t="shared" si="2"/>
        <v>0.2</v>
      </c>
      <c r="P41" s="14">
        <f t="shared" si="3"/>
        <v>4.6511627906976744E-2</v>
      </c>
      <c r="Q41" s="14">
        <f t="shared" si="4"/>
        <v>5.6362083689154567E-2</v>
      </c>
      <c r="R41" s="14">
        <f t="shared" si="5"/>
        <v>4.9522926565457565E-2</v>
      </c>
      <c r="S41" s="14">
        <f t="shared" si="6"/>
        <v>0.4190633048282556</v>
      </c>
      <c r="T41">
        <f t="shared" si="8"/>
        <v>40</v>
      </c>
      <c r="U41" s="13" t="s">
        <v>233</v>
      </c>
      <c r="V41" s="14">
        <v>0.26037079451352202</v>
      </c>
      <c r="W41" t="str">
        <f t="shared" si="7"/>
        <v>Need Attention</v>
      </c>
    </row>
    <row r="42" spans="1:23" x14ac:dyDescent="0.3">
      <c r="A42" s="13" t="s">
        <v>218</v>
      </c>
      <c r="B42" s="2">
        <v>45759</v>
      </c>
      <c r="C42">
        <v>2</v>
      </c>
      <c r="D42" s="7">
        <v>11.5</v>
      </c>
      <c r="E42" s="7">
        <v>57500</v>
      </c>
      <c r="G42" t="s">
        <v>213</v>
      </c>
      <c r="H42" s="7">
        <v>168.75</v>
      </c>
      <c r="I42" s="7">
        <v>178750</v>
      </c>
      <c r="J42">
        <v>6</v>
      </c>
      <c r="K42" s="2">
        <v>45799</v>
      </c>
      <c r="L42">
        <f t="shared" si="0"/>
        <v>10</v>
      </c>
      <c r="N42" s="14">
        <f t="shared" si="1"/>
        <v>0.1</v>
      </c>
      <c r="O42" s="14">
        <f t="shared" si="2"/>
        <v>0.30000000000000004</v>
      </c>
      <c r="P42" s="14">
        <f t="shared" si="3"/>
        <v>0.13953488372093023</v>
      </c>
      <c r="Q42" s="14">
        <f t="shared" si="4"/>
        <v>0.2882152006831768</v>
      </c>
      <c r="R42" s="14">
        <f t="shared" si="5"/>
        <v>0.13810020473596787</v>
      </c>
      <c r="S42" s="14">
        <f t="shared" si="6"/>
        <v>0.96585028914007487</v>
      </c>
      <c r="T42">
        <f t="shared" si="8"/>
        <v>41</v>
      </c>
      <c r="U42" s="13" t="s">
        <v>192</v>
      </c>
      <c r="V42" s="14">
        <v>0.2598992031773123</v>
      </c>
      <c r="W42" t="str">
        <f t="shared" si="7"/>
        <v>Need Attention</v>
      </c>
    </row>
    <row r="43" spans="1:23" x14ac:dyDescent="0.3">
      <c r="A43" s="13" t="s">
        <v>219</v>
      </c>
      <c r="B43" s="2">
        <v>45785</v>
      </c>
      <c r="C43">
        <v>11</v>
      </c>
      <c r="D43" s="7">
        <v>94.5</v>
      </c>
      <c r="E43" s="7">
        <v>279650</v>
      </c>
      <c r="G43" t="s">
        <v>214</v>
      </c>
      <c r="H43" s="7">
        <v>112</v>
      </c>
      <c r="I43" s="7">
        <v>173900</v>
      </c>
      <c r="J43">
        <v>6</v>
      </c>
      <c r="K43" s="2">
        <v>45720</v>
      </c>
      <c r="L43">
        <f t="shared" si="0"/>
        <v>89</v>
      </c>
      <c r="N43" s="14">
        <f t="shared" si="1"/>
        <v>1.1235955056179775E-2</v>
      </c>
      <c r="O43" s="14">
        <f t="shared" si="2"/>
        <v>3.3707865168539325E-2</v>
      </c>
      <c r="P43" s="14">
        <f t="shared" si="3"/>
        <v>0.13953488372093023</v>
      </c>
      <c r="Q43" s="14">
        <f t="shared" si="4"/>
        <v>0.19128949615713065</v>
      </c>
      <c r="R43" s="14">
        <f t="shared" si="5"/>
        <v>0.13435315022984509</v>
      </c>
      <c r="S43" s="14">
        <f t="shared" si="6"/>
        <v>0.51012135033262507</v>
      </c>
      <c r="T43">
        <f t="shared" si="8"/>
        <v>42</v>
      </c>
      <c r="U43" s="13" t="s">
        <v>187</v>
      </c>
      <c r="V43" s="14">
        <v>0.24753025392488304</v>
      </c>
      <c r="W43" t="str">
        <f t="shared" si="7"/>
        <v>Need Attention</v>
      </c>
    </row>
    <row r="44" spans="1:23" x14ac:dyDescent="0.3">
      <c r="A44" s="13" t="s">
        <v>220</v>
      </c>
      <c r="B44" s="2">
        <v>45778</v>
      </c>
      <c r="C44">
        <v>2</v>
      </c>
      <c r="D44" s="7">
        <v>36.5</v>
      </c>
      <c r="E44" s="7">
        <v>42500</v>
      </c>
      <c r="G44" t="s">
        <v>215</v>
      </c>
      <c r="H44" s="7">
        <v>20.5</v>
      </c>
      <c r="I44" s="7">
        <v>67500</v>
      </c>
      <c r="J44">
        <v>2</v>
      </c>
      <c r="K44" s="2">
        <v>45780</v>
      </c>
      <c r="L44">
        <f t="shared" si="0"/>
        <v>29</v>
      </c>
      <c r="N44" s="14">
        <f t="shared" si="1"/>
        <v>3.4482758620689655E-2</v>
      </c>
      <c r="O44" s="14">
        <f t="shared" si="2"/>
        <v>0.10344827586206896</v>
      </c>
      <c r="P44" s="14">
        <f t="shared" si="3"/>
        <v>4.6511627906976744E-2</v>
      </c>
      <c r="Q44" s="14">
        <f t="shared" si="4"/>
        <v>3.5012809564474806E-2</v>
      </c>
      <c r="R44" s="14">
        <f t="shared" si="5"/>
        <v>5.214972766253332E-2</v>
      </c>
      <c r="S44" s="14">
        <f t="shared" si="6"/>
        <v>0.27160519961674351</v>
      </c>
      <c r="T44">
        <f t="shared" si="8"/>
        <v>43</v>
      </c>
      <c r="U44" s="13" t="s">
        <v>251</v>
      </c>
      <c r="V44" s="14">
        <v>0.23361127634227596</v>
      </c>
      <c r="W44" t="str">
        <f t="shared" si="7"/>
        <v>Need Attention</v>
      </c>
    </row>
    <row r="45" spans="1:23" x14ac:dyDescent="0.3">
      <c r="A45" s="13" t="s">
        <v>221</v>
      </c>
      <c r="B45" s="2">
        <v>45749</v>
      </c>
      <c r="C45">
        <v>6</v>
      </c>
      <c r="D45" s="7">
        <v>74.5</v>
      </c>
      <c r="E45" s="7">
        <v>153250</v>
      </c>
      <c r="G45" t="s">
        <v>216</v>
      </c>
      <c r="H45" s="7">
        <v>7</v>
      </c>
      <c r="I45" s="7">
        <v>35000</v>
      </c>
      <c r="J45">
        <v>1</v>
      </c>
      <c r="K45" s="2">
        <v>45736</v>
      </c>
      <c r="L45">
        <f t="shared" si="0"/>
        <v>73</v>
      </c>
      <c r="N45" s="14">
        <f t="shared" si="1"/>
        <v>1.3698630136986301E-2</v>
      </c>
      <c r="O45" s="14">
        <f t="shared" si="2"/>
        <v>4.1095890410958902E-2</v>
      </c>
      <c r="P45" s="14">
        <f t="shared" si="3"/>
        <v>2.3255813953488372E-2</v>
      </c>
      <c r="Q45" s="14">
        <f t="shared" si="4"/>
        <v>1.1955593509820665E-2</v>
      </c>
      <c r="R45" s="14">
        <f t="shared" si="5"/>
        <v>2.7040599528720979E-2</v>
      </c>
      <c r="S45" s="14">
        <f t="shared" si="6"/>
        <v>0.11704652753997521</v>
      </c>
      <c r="T45">
        <f t="shared" si="8"/>
        <v>44</v>
      </c>
      <c r="U45" s="13" t="s">
        <v>248</v>
      </c>
      <c r="V45" s="14">
        <v>0.23259666349557712</v>
      </c>
      <c r="W45" t="str">
        <f t="shared" si="7"/>
        <v>Need Attention</v>
      </c>
    </row>
    <row r="46" spans="1:23" x14ac:dyDescent="0.3">
      <c r="A46" s="13" t="s">
        <v>177</v>
      </c>
      <c r="B46" s="2">
        <v>45702</v>
      </c>
      <c r="C46">
        <v>1</v>
      </c>
      <c r="D46" s="7">
        <v>14</v>
      </c>
      <c r="E46" s="7">
        <v>36400</v>
      </c>
      <c r="G46" t="s">
        <v>217</v>
      </c>
      <c r="H46" s="7">
        <v>14</v>
      </c>
      <c r="I46" s="7">
        <v>35000</v>
      </c>
      <c r="J46">
        <v>1</v>
      </c>
      <c r="K46" s="2">
        <v>45767</v>
      </c>
      <c r="L46">
        <f t="shared" si="0"/>
        <v>42</v>
      </c>
      <c r="N46" s="14">
        <f t="shared" si="1"/>
        <v>2.3809523809523808E-2</v>
      </c>
      <c r="O46" s="14">
        <f t="shared" si="2"/>
        <v>7.1428571428571425E-2</v>
      </c>
      <c r="P46" s="14">
        <f t="shared" si="3"/>
        <v>2.3255813953488372E-2</v>
      </c>
      <c r="Q46" s="14">
        <f t="shared" si="4"/>
        <v>2.3911187019641331E-2</v>
      </c>
      <c r="R46" s="14">
        <f t="shared" si="5"/>
        <v>2.7040599528720979E-2</v>
      </c>
      <c r="S46" s="14">
        <f t="shared" si="6"/>
        <v>0.16944569573994592</v>
      </c>
      <c r="T46">
        <f t="shared" si="8"/>
        <v>45</v>
      </c>
      <c r="U46" s="13" t="s">
        <v>207</v>
      </c>
      <c r="V46" s="14">
        <v>0.23075693056454669</v>
      </c>
      <c r="W46" t="str">
        <f t="shared" si="7"/>
        <v>Need Attention</v>
      </c>
    </row>
    <row r="47" spans="1:23" x14ac:dyDescent="0.3">
      <c r="A47" s="13" t="s">
        <v>222</v>
      </c>
      <c r="B47" s="2">
        <v>45702</v>
      </c>
      <c r="C47">
        <v>2</v>
      </c>
      <c r="D47" s="7">
        <v>17.5</v>
      </c>
      <c r="E47" s="7">
        <v>45150</v>
      </c>
      <c r="G47" t="s">
        <v>218</v>
      </c>
      <c r="H47" s="7">
        <v>11.5</v>
      </c>
      <c r="I47" s="7">
        <v>57500</v>
      </c>
      <c r="J47">
        <v>2</v>
      </c>
      <c r="K47" s="2">
        <v>45759</v>
      </c>
      <c r="L47">
        <f t="shared" si="0"/>
        <v>50</v>
      </c>
      <c r="N47" s="14">
        <f t="shared" si="1"/>
        <v>0.02</v>
      </c>
      <c r="O47" s="14">
        <f t="shared" si="2"/>
        <v>6.0000000000000005E-2</v>
      </c>
      <c r="P47" s="14">
        <f t="shared" si="3"/>
        <v>4.6511627906976744E-2</v>
      </c>
      <c r="Q47" s="14">
        <f t="shared" si="4"/>
        <v>1.9641332194705381E-2</v>
      </c>
      <c r="R47" s="14">
        <f t="shared" si="5"/>
        <v>4.4423842082898755E-2</v>
      </c>
      <c r="S47" s="14">
        <f t="shared" si="6"/>
        <v>0.19057680218458087</v>
      </c>
      <c r="T47">
        <f t="shared" si="8"/>
        <v>46</v>
      </c>
      <c r="U47" s="13" t="s">
        <v>190</v>
      </c>
      <c r="V47" s="14">
        <v>0.23056474431113277</v>
      </c>
      <c r="W47" t="str">
        <f t="shared" si="7"/>
        <v>Need Attention</v>
      </c>
    </row>
    <row r="48" spans="1:23" x14ac:dyDescent="0.3">
      <c r="A48" s="13" t="s">
        <v>223</v>
      </c>
      <c r="B48" s="2">
        <v>45736</v>
      </c>
      <c r="C48">
        <v>1</v>
      </c>
      <c r="D48" s="7">
        <v>12</v>
      </c>
      <c r="E48" s="7">
        <v>30000</v>
      </c>
      <c r="G48" t="s">
        <v>219</v>
      </c>
      <c r="H48" s="7">
        <v>94.5</v>
      </c>
      <c r="I48" s="7">
        <v>279650</v>
      </c>
      <c r="J48">
        <v>11</v>
      </c>
      <c r="K48" s="2">
        <v>45785</v>
      </c>
      <c r="L48">
        <f t="shared" si="0"/>
        <v>24</v>
      </c>
      <c r="N48" s="14">
        <f t="shared" si="1"/>
        <v>4.1666666666666664E-2</v>
      </c>
      <c r="O48" s="14">
        <f t="shared" si="2"/>
        <v>0.125</v>
      </c>
      <c r="P48" s="14">
        <f t="shared" si="3"/>
        <v>0.2558139534883721</v>
      </c>
      <c r="Q48" s="14">
        <f t="shared" si="4"/>
        <v>0.16140051238257899</v>
      </c>
      <c r="R48" s="14">
        <f t="shared" si="5"/>
        <v>0.21605439023448061</v>
      </c>
      <c r="S48" s="14">
        <f t="shared" si="6"/>
        <v>0.79993552277209834</v>
      </c>
      <c r="T48">
        <f t="shared" si="8"/>
        <v>47</v>
      </c>
      <c r="U48" s="13" t="s">
        <v>182</v>
      </c>
      <c r="V48" s="14">
        <v>0.22901293732689554</v>
      </c>
      <c r="W48" t="str">
        <f t="shared" si="7"/>
        <v>Need Attention</v>
      </c>
    </row>
    <row r="49" spans="1:23" x14ac:dyDescent="0.3">
      <c r="A49" s="13" t="s">
        <v>224</v>
      </c>
      <c r="B49" s="2">
        <v>45773</v>
      </c>
      <c r="C49">
        <v>2</v>
      </c>
      <c r="D49" s="7">
        <v>43</v>
      </c>
      <c r="E49" s="7">
        <v>72500</v>
      </c>
      <c r="G49" t="s">
        <v>220</v>
      </c>
      <c r="H49" s="7">
        <v>36.5</v>
      </c>
      <c r="I49" s="7">
        <v>42500</v>
      </c>
      <c r="J49">
        <v>2</v>
      </c>
      <c r="K49" s="2">
        <v>45778</v>
      </c>
      <c r="L49">
        <f t="shared" si="0"/>
        <v>31</v>
      </c>
      <c r="N49" s="14">
        <f t="shared" si="1"/>
        <v>3.2258064516129031E-2</v>
      </c>
      <c r="O49" s="14">
        <f t="shared" si="2"/>
        <v>9.6774193548387094E-2</v>
      </c>
      <c r="P49" s="14">
        <f t="shared" si="3"/>
        <v>4.6511627906976744E-2</v>
      </c>
      <c r="Q49" s="14">
        <f t="shared" si="4"/>
        <v>6.2339880444064903E-2</v>
      </c>
      <c r="R49" s="14">
        <f t="shared" si="5"/>
        <v>3.2835013713446902E-2</v>
      </c>
      <c r="S49" s="14">
        <f t="shared" si="6"/>
        <v>0.27071878012900469</v>
      </c>
      <c r="T49">
        <f t="shared" si="8"/>
        <v>48</v>
      </c>
      <c r="U49" s="13" t="s">
        <v>242</v>
      </c>
      <c r="V49" s="14">
        <v>0.22699130174239204</v>
      </c>
      <c r="W49" t="str">
        <f t="shared" si="7"/>
        <v>Need Attention</v>
      </c>
    </row>
    <row r="50" spans="1:23" x14ac:dyDescent="0.3">
      <c r="A50" s="13" t="s">
        <v>225</v>
      </c>
      <c r="B50" s="2">
        <v>45803</v>
      </c>
      <c r="C50">
        <v>1</v>
      </c>
      <c r="D50" s="7">
        <v>14</v>
      </c>
      <c r="E50" s="7">
        <v>35000</v>
      </c>
      <c r="G50" t="s">
        <v>221</v>
      </c>
      <c r="H50" s="7">
        <v>74.5</v>
      </c>
      <c r="I50" s="7">
        <v>153250</v>
      </c>
      <c r="J50">
        <v>6</v>
      </c>
      <c r="K50" s="2">
        <v>45749</v>
      </c>
      <c r="L50">
        <f t="shared" si="0"/>
        <v>60</v>
      </c>
      <c r="N50" s="14">
        <f t="shared" si="1"/>
        <v>1.6666666666666666E-2</v>
      </c>
      <c r="O50" s="14">
        <f t="shared" si="2"/>
        <v>0.05</v>
      </c>
      <c r="P50" s="14">
        <f t="shared" si="3"/>
        <v>0.13953488372093023</v>
      </c>
      <c r="Q50" s="14">
        <f t="shared" si="4"/>
        <v>0.12724167378309137</v>
      </c>
      <c r="R50" s="14">
        <f t="shared" si="5"/>
        <v>0.11839919650789972</v>
      </c>
      <c r="S50" s="14">
        <f t="shared" si="6"/>
        <v>0.45184242067858799</v>
      </c>
      <c r="T50">
        <f t="shared" si="8"/>
        <v>49</v>
      </c>
      <c r="U50" s="13" t="s">
        <v>238</v>
      </c>
      <c r="V50" s="14">
        <v>0.22546038812397934</v>
      </c>
      <c r="W50" t="str">
        <f t="shared" si="7"/>
        <v>Need Attention</v>
      </c>
    </row>
    <row r="51" spans="1:23" x14ac:dyDescent="0.3">
      <c r="A51" s="13" t="s">
        <v>226</v>
      </c>
      <c r="B51" s="2">
        <v>45749</v>
      </c>
      <c r="C51">
        <v>4</v>
      </c>
      <c r="D51" s="7">
        <v>68</v>
      </c>
      <c r="E51" s="7">
        <v>128750</v>
      </c>
      <c r="G51" t="s">
        <v>222</v>
      </c>
      <c r="H51" s="7">
        <v>17.5</v>
      </c>
      <c r="I51" s="7">
        <v>45150</v>
      </c>
      <c r="J51">
        <v>2</v>
      </c>
      <c r="K51" s="2">
        <v>45702</v>
      </c>
      <c r="L51">
        <f t="shared" si="0"/>
        <v>107</v>
      </c>
      <c r="N51" s="14">
        <f t="shared" si="1"/>
        <v>9.3457943925233638E-3</v>
      </c>
      <c r="O51" s="14">
        <f t="shared" si="2"/>
        <v>2.8037383177570093E-2</v>
      </c>
      <c r="P51" s="14">
        <f t="shared" si="3"/>
        <v>4.6511627906976744E-2</v>
      </c>
      <c r="Q51" s="14">
        <f t="shared" si="4"/>
        <v>2.9888983774551667E-2</v>
      </c>
      <c r="R51" s="14">
        <f t="shared" si="5"/>
        <v>3.488237339205006E-2</v>
      </c>
      <c r="S51" s="14">
        <f t="shared" si="6"/>
        <v>0.14866616264367194</v>
      </c>
      <c r="T51">
        <f t="shared" si="8"/>
        <v>50</v>
      </c>
      <c r="U51" s="13" t="s">
        <v>246</v>
      </c>
      <c r="V51" s="14">
        <v>0.22060676489745137</v>
      </c>
      <c r="W51" t="str">
        <f t="shared" si="7"/>
        <v>Need Attention</v>
      </c>
    </row>
    <row r="52" spans="1:23" x14ac:dyDescent="0.3">
      <c r="A52" s="13" t="s">
        <v>227</v>
      </c>
      <c r="B52" s="2">
        <v>45790</v>
      </c>
      <c r="C52">
        <v>3</v>
      </c>
      <c r="D52" s="7">
        <v>15</v>
      </c>
      <c r="E52" s="7">
        <v>74100</v>
      </c>
      <c r="G52" t="s">
        <v>223</v>
      </c>
      <c r="H52" s="7">
        <v>12</v>
      </c>
      <c r="I52" s="7">
        <v>30000</v>
      </c>
      <c r="J52">
        <v>1</v>
      </c>
      <c r="K52" s="2">
        <v>45736</v>
      </c>
      <c r="L52">
        <f t="shared" si="0"/>
        <v>73</v>
      </c>
      <c r="N52" s="14">
        <f t="shared" si="1"/>
        <v>1.3698630136986301E-2</v>
      </c>
      <c r="O52" s="14">
        <f t="shared" si="2"/>
        <v>4.1095890410958902E-2</v>
      </c>
      <c r="P52" s="14">
        <f t="shared" si="3"/>
        <v>2.3255813953488372E-2</v>
      </c>
      <c r="Q52" s="14">
        <f t="shared" si="4"/>
        <v>2.0495303159692571E-2</v>
      </c>
      <c r="R52" s="14">
        <f t="shared" si="5"/>
        <v>2.3177656738903697E-2</v>
      </c>
      <c r="S52" s="14">
        <f t="shared" si="6"/>
        <v>0.12172329440002984</v>
      </c>
      <c r="T52">
        <f t="shared" si="8"/>
        <v>51</v>
      </c>
      <c r="U52" s="13" t="s">
        <v>173</v>
      </c>
      <c r="V52" s="14">
        <v>0.21265818351257135</v>
      </c>
      <c r="W52" t="str">
        <f t="shared" si="7"/>
        <v>Need Attention</v>
      </c>
    </row>
    <row r="53" spans="1:23" x14ac:dyDescent="0.3">
      <c r="A53" s="13" t="s">
        <v>228</v>
      </c>
      <c r="B53" s="2">
        <v>45806</v>
      </c>
      <c r="C53">
        <v>1</v>
      </c>
      <c r="D53" s="7">
        <v>10</v>
      </c>
      <c r="E53" s="7">
        <v>21500</v>
      </c>
      <c r="G53" t="s">
        <v>224</v>
      </c>
      <c r="H53" s="7">
        <v>43</v>
      </c>
      <c r="I53" s="7">
        <v>72500</v>
      </c>
      <c r="J53">
        <v>2</v>
      </c>
      <c r="K53" s="2">
        <v>45773</v>
      </c>
      <c r="L53">
        <f t="shared" si="0"/>
        <v>36</v>
      </c>
      <c r="N53" s="14">
        <f t="shared" si="1"/>
        <v>2.7777777777777776E-2</v>
      </c>
      <c r="O53" s="14">
        <f t="shared" si="2"/>
        <v>8.3333333333333329E-2</v>
      </c>
      <c r="P53" s="14">
        <f t="shared" si="3"/>
        <v>4.6511627906976744E-2</v>
      </c>
      <c r="Q53" s="14">
        <f t="shared" si="4"/>
        <v>7.3441502988898372E-2</v>
      </c>
      <c r="R53" s="14">
        <f t="shared" si="5"/>
        <v>5.6012670452350602E-2</v>
      </c>
      <c r="S53" s="14">
        <f t="shared" si="6"/>
        <v>0.28707691245933681</v>
      </c>
      <c r="T53">
        <f t="shared" si="8"/>
        <v>52</v>
      </c>
      <c r="U53" s="13" t="s">
        <v>200</v>
      </c>
      <c r="V53" s="14">
        <v>0.20616768546805717</v>
      </c>
      <c r="W53" t="str">
        <f t="shared" si="7"/>
        <v>Need Attention</v>
      </c>
    </row>
    <row r="54" spans="1:23" x14ac:dyDescent="0.3">
      <c r="A54" s="13" t="s">
        <v>229</v>
      </c>
      <c r="B54" s="2">
        <v>45773</v>
      </c>
      <c r="C54">
        <v>15</v>
      </c>
      <c r="D54" s="7">
        <v>342.25</v>
      </c>
      <c r="E54" s="7">
        <v>395700</v>
      </c>
      <c r="G54" t="s">
        <v>225</v>
      </c>
      <c r="H54" s="7">
        <v>14</v>
      </c>
      <c r="I54" s="7">
        <v>35000</v>
      </c>
      <c r="J54">
        <v>1</v>
      </c>
      <c r="K54" s="2">
        <v>45803</v>
      </c>
      <c r="L54">
        <f t="shared" si="0"/>
        <v>6</v>
      </c>
      <c r="N54" s="14">
        <f t="shared" si="1"/>
        <v>0.16666666666666666</v>
      </c>
      <c r="O54" s="14">
        <f t="shared" si="2"/>
        <v>0.5</v>
      </c>
      <c r="P54" s="14">
        <f t="shared" si="3"/>
        <v>2.3255813953488372E-2</v>
      </c>
      <c r="Q54" s="14">
        <f t="shared" si="4"/>
        <v>2.3911187019641331E-2</v>
      </c>
      <c r="R54" s="14">
        <f t="shared" si="5"/>
        <v>2.7040599528720979E-2</v>
      </c>
      <c r="S54" s="14">
        <f t="shared" si="6"/>
        <v>0.74087426716851734</v>
      </c>
      <c r="T54">
        <f t="shared" si="8"/>
        <v>53</v>
      </c>
      <c r="U54" s="13" t="s">
        <v>175</v>
      </c>
      <c r="V54" s="14">
        <v>0.19948102023770589</v>
      </c>
      <c r="W54" t="str">
        <f t="shared" si="7"/>
        <v>Need Attention</v>
      </c>
    </row>
    <row r="55" spans="1:23" x14ac:dyDescent="0.3">
      <c r="A55" s="13" t="s">
        <v>230</v>
      </c>
      <c r="B55" s="2">
        <v>45766</v>
      </c>
      <c r="C55">
        <v>1</v>
      </c>
      <c r="D55" s="7">
        <v>21</v>
      </c>
      <c r="E55" s="7">
        <v>36400</v>
      </c>
      <c r="G55" t="s">
        <v>226</v>
      </c>
      <c r="H55" s="7">
        <v>68</v>
      </c>
      <c r="I55" s="7">
        <v>128750</v>
      </c>
      <c r="J55">
        <v>4</v>
      </c>
      <c r="K55" s="2">
        <v>45749</v>
      </c>
      <c r="L55">
        <f t="shared" si="0"/>
        <v>60</v>
      </c>
      <c r="N55" s="14">
        <f t="shared" si="1"/>
        <v>1.6666666666666666E-2</v>
      </c>
      <c r="O55" s="14">
        <f t="shared" si="2"/>
        <v>0.05</v>
      </c>
      <c r="P55" s="14">
        <f t="shared" si="3"/>
        <v>9.3023255813953487E-2</v>
      </c>
      <c r="Q55" s="14">
        <f t="shared" si="4"/>
        <v>0.11614005123825789</v>
      </c>
      <c r="R55" s="14">
        <f t="shared" si="5"/>
        <v>9.9470776837795039E-2</v>
      </c>
      <c r="S55" s="14">
        <f t="shared" si="6"/>
        <v>0.37530075055667306</v>
      </c>
      <c r="T55">
        <f t="shared" si="8"/>
        <v>54</v>
      </c>
      <c r="U55" s="13" t="s">
        <v>209</v>
      </c>
      <c r="V55" s="14">
        <v>0.19932855444543368</v>
      </c>
      <c r="W55" t="str">
        <f t="shared" si="7"/>
        <v>Need Attention</v>
      </c>
    </row>
    <row r="56" spans="1:23" x14ac:dyDescent="0.3">
      <c r="A56" s="13" t="s">
        <v>231</v>
      </c>
      <c r="B56" s="2">
        <v>45754</v>
      </c>
      <c r="C56">
        <v>4</v>
      </c>
      <c r="D56" s="7">
        <v>57</v>
      </c>
      <c r="E56" s="7">
        <v>113300</v>
      </c>
      <c r="G56" t="s">
        <v>227</v>
      </c>
      <c r="H56" s="7">
        <v>15</v>
      </c>
      <c r="I56" s="7">
        <v>74100</v>
      </c>
      <c r="J56">
        <v>3</v>
      </c>
      <c r="K56" s="2">
        <v>45790</v>
      </c>
      <c r="L56">
        <f t="shared" si="0"/>
        <v>19</v>
      </c>
      <c r="N56" s="14">
        <f t="shared" si="1"/>
        <v>5.2631578947368418E-2</v>
      </c>
      <c r="O56" s="14">
        <f t="shared" si="2"/>
        <v>0.15789473684210525</v>
      </c>
      <c r="P56" s="14">
        <f t="shared" si="3"/>
        <v>6.9767441860465115E-2</v>
      </c>
      <c r="Q56" s="14">
        <f t="shared" si="4"/>
        <v>2.5619128949615714E-2</v>
      </c>
      <c r="R56" s="14">
        <f t="shared" si="5"/>
        <v>5.7248812145092129E-2</v>
      </c>
      <c r="S56" s="14">
        <f t="shared" si="6"/>
        <v>0.36316169874464665</v>
      </c>
      <c r="T56">
        <f t="shared" si="8"/>
        <v>55</v>
      </c>
      <c r="U56" s="13" t="s">
        <v>201</v>
      </c>
      <c r="V56" s="14">
        <v>0.19322149735066274</v>
      </c>
      <c r="W56" t="str">
        <f t="shared" si="7"/>
        <v>Need Attention</v>
      </c>
    </row>
    <row r="57" spans="1:23" x14ac:dyDescent="0.3">
      <c r="A57" s="13" t="s">
        <v>178</v>
      </c>
      <c r="B57" s="2">
        <v>45702</v>
      </c>
      <c r="C57">
        <v>1</v>
      </c>
      <c r="D57" s="7">
        <v>105</v>
      </c>
      <c r="E57" s="7">
        <v>36400</v>
      </c>
      <c r="G57" t="s">
        <v>228</v>
      </c>
      <c r="H57" s="7">
        <v>10</v>
      </c>
      <c r="I57" s="7">
        <v>21500</v>
      </c>
      <c r="J57">
        <v>1</v>
      </c>
      <c r="K57" s="2">
        <v>45806</v>
      </c>
      <c r="L57">
        <f t="shared" si="0"/>
        <v>3</v>
      </c>
      <c r="N57" s="14">
        <f t="shared" si="1"/>
        <v>0.33333333333333331</v>
      </c>
      <c r="O57" s="14">
        <f t="shared" si="2"/>
        <v>1</v>
      </c>
      <c r="P57" s="14">
        <f t="shared" si="3"/>
        <v>2.3255813953488372E-2</v>
      </c>
      <c r="Q57" s="14">
        <f t="shared" si="4"/>
        <v>1.7079419299743808E-2</v>
      </c>
      <c r="R57" s="14">
        <f t="shared" si="5"/>
        <v>1.6610653996214315E-2</v>
      </c>
      <c r="S57" s="14">
        <f t="shared" si="6"/>
        <v>1.3902792205827799</v>
      </c>
      <c r="T57">
        <f t="shared" si="8"/>
        <v>56</v>
      </c>
      <c r="U57" s="13" t="s">
        <v>218</v>
      </c>
      <c r="V57" s="14">
        <v>0.19057680218458087</v>
      </c>
      <c r="W57" t="str">
        <f t="shared" si="7"/>
        <v>Need Attention</v>
      </c>
    </row>
    <row r="58" spans="1:23" x14ac:dyDescent="0.3">
      <c r="A58" s="13" t="s">
        <v>232</v>
      </c>
      <c r="B58" s="2">
        <v>45780</v>
      </c>
      <c r="C58">
        <v>43</v>
      </c>
      <c r="D58" s="7">
        <v>446.5</v>
      </c>
      <c r="E58" s="7">
        <v>1294350</v>
      </c>
      <c r="G58" t="s">
        <v>229</v>
      </c>
      <c r="H58" s="7">
        <v>342.25</v>
      </c>
      <c r="I58" s="7">
        <v>395700</v>
      </c>
      <c r="J58">
        <v>15</v>
      </c>
      <c r="K58" s="2">
        <v>45773</v>
      </c>
      <c r="L58">
        <f t="shared" si="0"/>
        <v>36</v>
      </c>
      <c r="N58" s="14">
        <f t="shared" si="1"/>
        <v>2.7777777777777776E-2</v>
      </c>
      <c r="O58" s="14">
        <f t="shared" si="2"/>
        <v>8.3333333333333329E-2</v>
      </c>
      <c r="P58" s="14">
        <f t="shared" si="3"/>
        <v>0.34883720930232559</v>
      </c>
      <c r="Q58" s="14">
        <f t="shared" si="4"/>
        <v>0.58454312553373189</v>
      </c>
      <c r="R58" s="14">
        <f t="shared" si="5"/>
        <v>0.30571329238613976</v>
      </c>
      <c r="S58" s="14">
        <f t="shared" si="6"/>
        <v>1.3502047383333085</v>
      </c>
      <c r="T58">
        <f t="shared" si="8"/>
        <v>57</v>
      </c>
      <c r="U58" s="13" t="s">
        <v>185</v>
      </c>
      <c r="V58" s="14">
        <v>0.18347038731541362</v>
      </c>
      <c r="W58" t="str">
        <f t="shared" si="7"/>
        <v>Need Attention</v>
      </c>
    </row>
    <row r="59" spans="1:23" x14ac:dyDescent="0.3">
      <c r="A59" s="13" t="s">
        <v>233</v>
      </c>
      <c r="B59" s="2">
        <v>45769</v>
      </c>
      <c r="C59">
        <v>2</v>
      </c>
      <c r="D59" s="7">
        <v>35</v>
      </c>
      <c r="E59" s="7">
        <v>70000</v>
      </c>
      <c r="G59" t="s">
        <v>230</v>
      </c>
      <c r="H59" s="7">
        <v>21</v>
      </c>
      <c r="I59" s="7">
        <v>36400</v>
      </c>
      <c r="J59">
        <v>1</v>
      </c>
      <c r="K59" s="2">
        <v>45766</v>
      </c>
      <c r="L59">
        <f t="shared" si="0"/>
        <v>43</v>
      </c>
      <c r="N59" s="14">
        <f t="shared" si="1"/>
        <v>2.3255813953488372E-2</v>
      </c>
      <c r="O59" s="14">
        <f t="shared" si="2"/>
        <v>6.9767441860465115E-2</v>
      </c>
      <c r="P59" s="14">
        <f t="shared" si="3"/>
        <v>2.3255813953488372E-2</v>
      </c>
      <c r="Q59" s="14">
        <f t="shared" si="4"/>
        <v>3.5866780529461996E-2</v>
      </c>
      <c r="R59" s="14">
        <f t="shared" si="5"/>
        <v>2.8122223509869818E-2</v>
      </c>
      <c r="S59" s="14">
        <f t="shared" si="6"/>
        <v>0.18026807380677368</v>
      </c>
      <c r="T59">
        <f t="shared" si="8"/>
        <v>58</v>
      </c>
      <c r="U59" s="13" t="s">
        <v>253</v>
      </c>
      <c r="V59" s="14">
        <v>0.1833667249279205</v>
      </c>
      <c r="W59" t="str">
        <f t="shared" si="7"/>
        <v>Need Attention</v>
      </c>
    </row>
    <row r="60" spans="1:23" x14ac:dyDescent="0.3">
      <c r="A60" s="13" t="s">
        <v>234</v>
      </c>
      <c r="B60" s="2">
        <v>45784</v>
      </c>
      <c r="C60">
        <v>7</v>
      </c>
      <c r="D60" s="7">
        <v>50.5</v>
      </c>
      <c r="E60" s="7">
        <v>153425</v>
      </c>
      <c r="G60" t="s">
        <v>231</v>
      </c>
      <c r="H60" s="7">
        <v>57</v>
      </c>
      <c r="I60" s="7">
        <v>113300</v>
      </c>
      <c r="J60">
        <v>4</v>
      </c>
      <c r="K60" s="2">
        <v>45754</v>
      </c>
      <c r="L60">
        <f t="shared" si="0"/>
        <v>55</v>
      </c>
      <c r="N60" s="14">
        <f t="shared" si="1"/>
        <v>1.8181818181818181E-2</v>
      </c>
      <c r="O60" s="14">
        <f t="shared" si="2"/>
        <v>5.4545454545454543E-2</v>
      </c>
      <c r="P60" s="14">
        <f t="shared" si="3"/>
        <v>9.3023255813953487E-2</v>
      </c>
      <c r="Q60" s="14">
        <f t="shared" si="4"/>
        <v>9.7352690008539716E-2</v>
      </c>
      <c r="R60" s="14">
        <f t="shared" si="5"/>
        <v>8.7534283617259623E-2</v>
      </c>
      <c r="S60" s="14">
        <f t="shared" si="6"/>
        <v>0.35063750216702555</v>
      </c>
      <c r="T60">
        <f t="shared" si="8"/>
        <v>59</v>
      </c>
      <c r="U60" s="13" t="s">
        <v>230</v>
      </c>
      <c r="V60" s="14">
        <v>0.18026807380677368</v>
      </c>
      <c r="W60" t="str">
        <f t="shared" si="7"/>
        <v>Need Attention</v>
      </c>
    </row>
    <row r="61" spans="1:23" x14ac:dyDescent="0.3">
      <c r="A61" s="13" t="s">
        <v>235</v>
      </c>
      <c r="B61" s="2">
        <v>45800</v>
      </c>
      <c r="C61">
        <v>6</v>
      </c>
      <c r="D61" s="7">
        <v>52</v>
      </c>
      <c r="E61" s="7">
        <v>112700</v>
      </c>
      <c r="G61" t="s">
        <v>232</v>
      </c>
      <c r="H61" s="7">
        <v>446.5</v>
      </c>
      <c r="I61" s="7">
        <v>1294350</v>
      </c>
      <c r="J61">
        <v>43</v>
      </c>
      <c r="K61" s="2">
        <v>45780</v>
      </c>
      <c r="L61">
        <f t="shared" si="0"/>
        <v>29</v>
      </c>
      <c r="N61" s="14">
        <f t="shared" si="1"/>
        <v>3.4482758620689655E-2</v>
      </c>
      <c r="O61" s="14">
        <f t="shared" si="2"/>
        <v>0.10344827586206896</v>
      </c>
      <c r="P61" s="14">
        <f t="shared" si="3"/>
        <v>1</v>
      </c>
      <c r="Q61" s="14">
        <f t="shared" si="4"/>
        <v>0.76259607173356103</v>
      </c>
      <c r="R61" s="14">
        <f t="shared" si="5"/>
        <v>1</v>
      </c>
      <c r="S61" s="14">
        <f t="shared" si="6"/>
        <v>2.9005271062163196</v>
      </c>
      <c r="T61">
        <f t="shared" si="8"/>
        <v>60</v>
      </c>
      <c r="U61" s="13" t="s">
        <v>205</v>
      </c>
      <c r="V61" s="14">
        <v>0.17920411549364357</v>
      </c>
      <c r="W61" t="str">
        <f t="shared" si="7"/>
        <v>Need Attention</v>
      </c>
    </row>
    <row r="62" spans="1:23" x14ac:dyDescent="0.3">
      <c r="A62" s="13" t="s">
        <v>236</v>
      </c>
      <c r="B62" s="2">
        <v>45793</v>
      </c>
      <c r="C62">
        <v>14</v>
      </c>
      <c r="D62" s="7">
        <v>403</v>
      </c>
      <c r="E62" s="7">
        <v>417400</v>
      </c>
      <c r="G62" t="s">
        <v>233</v>
      </c>
      <c r="H62" s="7">
        <v>35</v>
      </c>
      <c r="I62" s="7">
        <v>70000</v>
      </c>
      <c r="J62">
        <v>2</v>
      </c>
      <c r="K62" s="2">
        <v>45769</v>
      </c>
      <c r="L62">
        <f t="shared" si="0"/>
        <v>40</v>
      </c>
      <c r="N62" s="14">
        <f t="shared" si="1"/>
        <v>2.5000000000000001E-2</v>
      </c>
      <c r="O62" s="14">
        <f t="shared" si="2"/>
        <v>7.5000000000000011E-2</v>
      </c>
      <c r="P62" s="14">
        <f t="shared" si="3"/>
        <v>4.6511627906976744E-2</v>
      </c>
      <c r="Q62" s="14">
        <f t="shared" si="4"/>
        <v>5.9777967549103334E-2</v>
      </c>
      <c r="R62" s="14">
        <f t="shared" si="5"/>
        <v>5.4081199057441957E-2</v>
      </c>
      <c r="S62" s="14">
        <f t="shared" si="6"/>
        <v>0.26037079451352202</v>
      </c>
      <c r="T62">
        <f t="shared" si="8"/>
        <v>61</v>
      </c>
      <c r="U62" s="13" t="s">
        <v>243</v>
      </c>
      <c r="V62" s="14">
        <v>0.17810026103216878</v>
      </c>
      <c r="W62" t="str">
        <f t="shared" si="7"/>
        <v>Need Attention</v>
      </c>
    </row>
    <row r="63" spans="1:23" x14ac:dyDescent="0.3">
      <c r="A63" s="13" t="s">
        <v>237</v>
      </c>
      <c r="B63" s="2">
        <v>45803</v>
      </c>
      <c r="C63">
        <v>5</v>
      </c>
      <c r="D63" s="7">
        <v>223.5</v>
      </c>
      <c r="E63" s="7">
        <v>132600</v>
      </c>
      <c r="G63" t="s">
        <v>234</v>
      </c>
      <c r="H63" s="7">
        <v>50.5</v>
      </c>
      <c r="I63" s="7">
        <v>153425</v>
      </c>
      <c r="J63">
        <v>7</v>
      </c>
      <c r="K63" s="2">
        <v>45784</v>
      </c>
      <c r="L63">
        <f t="shared" si="0"/>
        <v>25</v>
      </c>
      <c r="N63" s="14">
        <f t="shared" si="1"/>
        <v>0.04</v>
      </c>
      <c r="O63" s="14">
        <f t="shared" si="2"/>
        <v>0.12000000000000001</v>
      </c>
      <c r="P63" s="14">
        <f t="shared" si="3"/>
        <v>0.16279069767441862</v>
      </c>
      <c r="Q63" s="14">
        <f t="shared" si="4"/>
        <v>8.6251067463706241E-2</v>
      </c>
      <c r="R63" s="14">
        <f t="shared" si="5"/>
        <v>0.11853439950554333</v>
      </c>
      <c r="S63" s="14">
        <f t="shared" si="6"/>
        <v>0.52757616464366819</v>
      </c>
      <c r="T63">
        <f t="shared" si="8"/>
        <v>62</v>
      </c>
      <c r="U63" s="13" t="s">
        <v>210</v>
      </c>
      <c r="V63" s="14">
        <v>0.17092438437613469</v>
      </c>
      <c r="W63" t="str">
        <f t="shared" si="7"/>
        <v>Need Attention</v>
      </c>
    </row>
    <row r="64" spans="1:23" x14ac:dyDescent="0.3">
      <c r="A64" s="13" t="s">
        <v>238</v>
      </c>
      <c r="B64" s="2">
        <v>45733</v>
      </c>
      <c r="C64">
        <v>3</v>
      </c>
      <c r="D64" s="7">
        <v>18.5</v>
      </c>
      <c r="E64" s="7">
        <v>92500</v>
      </c>
      <c r="G64" t="s">
        <v>235</v>
      </c>
      <c r="H64" s="7">
        <v>52</v>
      </c>
      <c r="I64" s="7">
        <v>112700</v>
      </c>
      <c r="J64">
        <v>6</v>
      </c>
      <c r="K64" s="2">
        <v>45800</v>
      </c>
      <c r="L64">
        <f t="shared" si="0"/>
        <v>9</v>
      </c>
      <c r="N64" s="14">
        <f t="shared" si="1"/>
        <v>0.1111111111111111</v>
      </c>
      <c r="O64" s="14">
        <f t="shared" si="2"/>
        <v>0.33333333333333331</v>
      </c>
      <c r="P64" s="14">
        <f t="shared" si="3"/>
        <v>0.13953488372093023</v>
      </c>
      <c r="Q64" s="14">
        <f t="shared" si="4"/>
        <v>8.8812980358667803E-2</v>
      </c>
      <c r="R64" s="14">
        <f t="shared" si="5"/>
        <v>8.7070730482481554E-2</v>
      </c>
      <c r="S64" s="14">
        <f t="shared" si="6"/>
        <v>0.75986303900652408</v>
      </c>
      <c r="T64">
        <f t="shared" si="8"/>
        <v>63</v>
      </c>
      <c r="U64" s="13" t="s">
        <v>217</v>
      </c>
      <c r="V64" s="14">
        <v>0.16944569573994592</v>
      </c>
      <c r="W64" t="str">
        <f t="shared" si="7"/>
        <v>Need Attention</v>
      </c>
    </row>
    <row r="65" spans="1:23" x14ac:dyDescent="0.3">
      <c r="A65" s="13" t="s">
        <v>239</v>
      </c>
      <c r="B65" s="2">
        <v>45693</v>
      </c>
      <c r="C65">
        <v>1</v>
      </c>
      <c r="D65" s="7">
        <v>35</v>
      </c>
      <c r="E65" s="7">
        <v>32900</v>
      </c>
      <c r="G65" t="s">
        <v>236</v>
      </c>
      <c r="H65" s="7">
        <v>403</v>
      </c>
      <c r="I65" s="7">
        <v>417400</v>
      </c>
      <c r="J65">
        <v>14</v>
      </c>
      <c r="K65" s="2">
        <v>45793</v>
      </c>
      <c r="L65">
        <f t="shared" si="0"/>
        <v>16</v>
      </c>
      <c r="N65" s="14">
        <f t="shared" si="1"/>
        <v>6.25E-2</v>
      </c>
      <c r="O65" s="14">
        <f t="shared" si="2"/>
        <v>0.1875</v>
      </c>
      <c r="P65" s="14">
        <f t="shared" si="3"/>
        <v>0.32558139534883723</v>
      </c>
      <c r="Q65" s="14">
        <f t="shared" si="4"/>
        <v>0.68830059777967545</v>
      </c>
      <c r="R65" s="14">
        <f t="shared" si="5"/>
        <v>0.32247846409394676</v>
      </c>
      <c r="S65" s="14">
        <f t="shared" si="6"/>
        <v>1.5863604572224594</v>
      </c>
      <c r="T65">
        <f t="shared" si="8"/>
        <v>64</v>
      </c>
      <c r="U65" s="13" t="s">
        <v>184</v>
      </c>
      <c r="V65" s="14">
        <v>0.16852110350139332</v>
      </c>
      <c r="W65" t="str">
        <f t="shared" si="7"/>
        <v>Need Attention</v>
      </c>
    </row>
    <row r="66" spans="1:23" x14ac:dyDescent="0.3">
      <c r="A66" s="13" t="s">
        <v>240</v>
      </c>
      <c r="B66" s="2">
        <v>45719</v>
      </c>
      <c r="C66">
        <v>1</v>
      </c>
      <c r="D66" s="7">
        <v>21</v>
      </c>
      <c r="E66" s="7">
        <v>32900</v>
      </c>
      <c r="G66" t="s">
        <v>237</v>
      </c>
      <c r="H66" s="7">
        <v>223.5</v>
      </c>
      <c r="I66" s="7">
        <v>132600</v>
      </c>
      <c r="J66">
        <v>5</v>
      </c>
      <c r="K66" s="2">
        <v>45803</v>
      </c>
      <c r="L66">
        <f t="shared" si="0"/>
        <v>6</v>
      </c>
      <c r="N66" s="14">
        <f t="shared" si="1"/>
        <v>0.16666666666666666</v>
      </c>
      <c r="O66" s="14">
        <f t="shared" si="2"/>
        <v>0.5</v>
      </c>
      <c r="P66" s="14">
        <f t="shared" si="3"/>
        <v>0.11627906976744186</v>
      </c>
      <c r="Q66" s="14">
        <f t="shared" si="4"/>
        <v>0.38172502134927411</v>
      </c>
      <c r="R66" s="14">
        <f t="shared" si="5"/>
        <v>0.10244524278595434</v>
      </c>
      <c r="S66" s="14">
        <f t="shared" si="6"/>
        <v>1.2671160005693369</v>
      </c>
      <c r="T66">
        <f t="shared" si="8"/>
        <v>65</v>
      </c>
      <c r="U66" s="13" t="s">
        <v>247</v>
      </c>
      <c r="V66" s="14">
        <v>0.15852745576529684</v>
      </c>
      <c r="W66" t="str">
        <f t="shared" si="7"/>
        <v>Need Attention</v>
      </c>
    </row>
    <row r="67" spans="1:23" x14ac:dyDescent="0.3">
      <c r="A67" s="13" t="s">
        <v>241</v>
      </c>
      <c r="B67" s="2">
        <v>45722</v>
      </c>
      <c r="C67">
        <v>1</v>
      </c>
      <c r="D67" s="7">
        <v>7</v>
      </c>
      <c r="E67" s="7">
        <v>32900</v>
      </c>
      <c r="G67" t="s">
        <v>238</v>
      </c>
      <c r="H67" s="7">
        <v>18.5</v>
      </c>
      <c r="I67" s="7">
        <v>92500</v>
      </c>
      <c r="J67">
        <v>3</v>
      </c>
      <c r="K67" s="2">
        <v>45733</v>
      </c>
      <c r="L67">
        <f t="shared" ref="L67:L82" si="9">$M$2-K67</f>
        <v>76</v>
      </c>
      <c r="N67" s="14">
        <f t="shared" ref="N67:N82" si="10">1/L67</f>
        <v>1.3157894736842105E-2</v>
      </c>
      <c r="O67" s="14">
        <f t="shared" ref="O67:O82" si="11">N67/MAX($N$2:$N$82)</f>
        <v>3.9473684210526314E-2</v>
      </c>
      <c r="P67" s="14">
        <f t="shared" ref="P67:P82" si="12">J67/MAX($J$2:$J$82)</f>
        <v>6.9767441860465115E-2</v>
      </c>
      <c r="Q67" s="14">
        <f t="shared" ref="Q67:Q82" si="13">H67/MAX($H$2:$H$82)</f>
        <v>3.1596925704526047E-2</v>
      </c>
      <c r="R67" s="14">
        <f t="shared" ref="R67:R82" si="14">I67/MAX($I$2:$I$82)</f>
        <v>7.1464441611619731E-2</v>
      </c>
      <c r="S67" s="14">
        <f t="shared" ref="S67:S82" si="15">SUM(N67:R67)</f>
        <v>0.22546038812397934</v>
      </c>
      <c r="T67">
        <f t="shared" si="8"/>
        <v>66</v>
      </c>
      <c r="U67" s="13" t="s">
        <v>197</v>
      </c>
      <c r="V67" s="14">
        <v>0.15460922536591101</v>
      </c>
      <c r="W67" t="str">
        <f t="shared" ref="W67:W82" si="16">IF(V67&gt;=1,"Loyal",IF(V67&gt;=0.4,"Potential Loyalist",IF(V67&gt;=0.15,"Need Attention","At Risk")))</f>
        <v>Need Attention</v>
      </c>
    </row>
    <row r="68" spans="1:23" x14ac:dyDescent="0.3">
      <c r="A68" s="13" t="s">
        <v>179</v>
      </c>
      <c r="B68" s="2">
        <v>45697</v>
      </c>
      <c r="C68">
        <v>1</v>
      </c>
      <c r="D68" s="7">
        <v>5</v>
      </c>
      <c r="E68" s="7">
        <v>23500</v>
      </c>
      <c r="G68" t="s">
        <v>239</v>
      </c>
      <c r="H68" s="7">
        <v>35</v>
      </c>
      <c r="I68" s="7">
        <v>32900</v>
      </c>
      <c r="J68">
        <v>1</v>
      </c>
      <c r="K68" s="2">
        <v>45693</v>
      </c>
      <c r="L68">
        <f t="shared" si="9"/>
        <v>116</v>
      </c>
      <c r="N68" s="14">
        <f t="shared" si="10"/>
        <v>8.6206896551724137E-3</v>
      </c>
      <c r="O68" s="14">
        <f t="shared" si="11"/>
        <v>2.5862068965517241E-2</v>
      </c>
      <c r="P68" s="14">
        <f t="shared" si="12"/>
        <v>2.3255813953488372E-2</v>
      </c>
      <c r="Q68" s="14">
        <f t="shared" si="13"/>
        <v>5.9777967549103334E-2</v>
      </c>
      <c r="R68" s="14">
        <f t="shared" si="14"/>
        <v>2.5418163556997719E-2</v>
      </c>
      <c r="S68" s="14">
        <f t="shared" si="15"/>
        <v>0.14293470368027908</v>
      </c>
      <c r="T68">
        <f t="shared" si="8"/>
        <v>67</v>
      </c>
      <c r="U68" s="13" t="s">
        <v>198</v>
      </c>
      <c r="V68" s="14">
        <v>0.15343250874086062</v>
      </c>
      <c r="W68" t="str">
        <f t="shared" si="16"/>
        <v>Need Attention</v>
      </c>
    </row>
    <row r="69" spans="1:23" x14ac:dyDescent="0.3">
      <c r="A69" s="13" t="s">
        <v>242</v>
      </c>
      <c r="B69" s="2">
        <v>45772</v>
      </c>
      <c r="C69">
        <v>1</v>
      </c>
      <c r="D69" s="7">
        <v>37.5</v>
      </c>
      <c r="E69" s="7">
        <v>40875</v>
      </c>
      <c r="G69" t="s">
        <v>240</v>
      </c>
      <c r="H69" s="7">
        <v>21</v>
      </c>
      <c r="I69" s="7">
        <v>32900</v>
      </c>
      <c r="J69">
        <v>1</v>
      </c>
      <c r="K69" s="2">
        <v>45719</v>
      </c>
      <c r="L69">
        <f t="shared" si="9"/>
        <v>90</v>
      </c>
      <c r="N69" s="14">
        <f t="shared" si="10"/>
        <v>1.1111111111111112E-2</v>
      </c>
      <c r="O69" s="14">
        <f t="shared" si="11"/>
        <v>3.333333333333334E-2</v>
      </c>
      <c r="P69" s="14">
        <f t="shared" si="12"/>
        <v>2.3255813953488372E-2</v>
      </c>
      <c r="Q69" s="14">
        <f t="shared" si="13"/>
        <v>3.5866780529461996E-2</v>
      </c>
      <c r="R69" s="14">
        <f t="shared" si="14"/>
        <v>2.5418163556997719E-2</v>
      </c>
      <c r="S69" s="14">
        <f t="shared" si="15"/>
        <v>0.12898520248439255</v>
      </c>
      <c r="T69">
        <f t="shared" ref="T69:T82" si="17">T68+1</f>
        <v>68</v>
      </c>
      <c r="U69" s="13" t="s">
        <v>222</v>
      </c>
      <c r="V69" s="14">
        <v>0.14866616264367194</v>
      </c>
      <c r="W69" t="str">
        <f t="shared" si="16"/>
        <v>At Risk</v>
      </c>
    </row>
    <row r="70" spans="1:23" x14ac:dyDescent="0.3">
      <c r="A70" s="13" t="s">
        <v>243</v>
      </c>
      <c r="B70" s="2">
        <v>45697</v>
      </c>
      <c r="C70">
        <v>2</v>
      </c>
      <c r="D70" s="7">
        <v>37</v>
      </c>
      <c r="E70" s="7">
        <v>42300</v>
      </c>
      <c r="G70" t="s">
        <v>241</v>
      </c>
      <c r="H70" s="7">
        <v>7</v>
      </c>
      <c r="I70" s="7">
        <v>32900</v>
      </c>
      <c r="J70">
        <v>1</v>
      </c>
      <c r="K70" s="2">
        <v>45722</v>
      </c>
      <c r="L70">
        <f t="shared" si="9"/>
        <v>87</v>
      </c>
      <c r="N70" s="14">
        <f t="shared" si="10"/>
        <v>1.1494252873563218E-2</v>
      </c>
      <c r="O70" s="14">
        <f t="shared" si="11"/>
        <v>3.4482758620689655E-2</v>
      </c>
      <c r="P70" s="14">
        <f t="shared" si="12"/>
        <v>2.3255813953488372E-2</v>
      </c>
      <c r="Q70" s="14">
        <f t="shared" si="13"/>
        <v>1.1955593509820665E-2</v>
      </c>
      <c r="R70" s="14">
        <f t="shared" si="14"/>
        <v>2.5418163556997719E-2</v>
      </c>
      <c r="S70" s="14">
        <f t="shared" si="15"/>
        <v>0.10660658251455962</v>
      </c>
      <c r="T70">
        <f t="shared" si="17"/>
        <v>69</v>
      </c>
      <c r="U70" s="13" t="s">
        <v>239</v>
      </c>
      <c r="V70" s="14">
        <v>0.14293470368027908</v>
      </c>
      <c r="W70" t="str">
        <f t="shared" si="16"/>
        <v>At Risk</v>
      </c>
    </row>
    <row r="71" spans="1:23" x14ac:dyDescent="0.3">
      <c r="A71" s="13" t="s">
        <v>244</v>
      </c>
      <c r="B71" s="2">
        <v>45806</v>
      </c>
      <c r="C71">
        <v>12</v>
      </c>
      <c r="D71" s="7">
        <v>187.5</v>
      </c>
      <c r="E71" s="7">
        <v>354250</v>
      </c>
      <c r="G71" t="s">
        <v>242</v>
      </c>
      <c r="H71" s="7">
        <v>37.5</v>
      </c>
      <c r="I71" s="7">
        <v>40875</v>
      </c>
      <c r="J71">
        <v>1</v>
      </c>
      <c r="K71" s="2">
        <v>45772</v>
      </c>
      <c r="L71">
        <f t="shared" si="9"/>
        <v>37</v>
      </c>
      <c r="N71" s="14">
        <f t="shared" si="10"/>
        <v>2.7027027027027029E-2</v>
      </c>
      <c r="O71" s="14">
        <f t="shared" si="11"/>
        <v>8.1081081081081086E-2</v>
      </c>
      <c r="P71" s="14">
        <f t="shared" si="12"/>
        <v>2.3255813953488372E-2</v>
      </c>
      <c r="Q71" s="14">
        <f t="shared" si="13"/>
        <v>6.4047822374039276E-2</v>
      </c>
      <c r="R71" s="14">
        <f t="shared" si="14"/>
        <v>3.1579557306756288E-2</v>
      </c>
      <c r="S71" s="14">
        <f t="shared" si="15"/>
        <v>0.22699130174239204</v>
      </c>
      <c r="T71">
        <f t="shared" si="17"/>
        <v>70</v>
      </c>
      <c r="U71" s="13" t="s">
        <v>193</v>
      </c>
      <c r="V71" s="14">
        <v>0.14081638762454665</v>
      </c>
      <c r="W71" t="str">
        <f t="shared" si="16"/>
        <v>At Risk</v>
      </c>
    </row>
    <row r="72" spans="1:23" x14ac:dyDescent="0.3">
      <c r="A72" s="13" t="s">
        <v>245</v>
      </c>
      <c r="B72" s="2">
        <v>45797</v>
      </c>
      <c r="C72">
        <v>6</v>
      </c>
      <c r="D72" s="7">
        <v>189</v>
      </c>
      <c r="E72" s="7">
        <v>212800</v>
      </c>
      <c r="G72" t="s">
        <v>243</v>
      </c>
      <c r="H72" s="7">
        <v>37</v>
      </c>
      <c r="I72" s="7">
        <v>42300</v>
      </c>
      <c r="J72">
        <v>2</v>
      </c>
      <c r="K72" s="2">
        <v>45697</v>
      </c>
      <c r="L72">
        <f t="shared" si="9"/>
        <v>112</v>
      </c>
      <c r="N72" s="14">
        <f t="shared" si="10"/>
        <v>8.9285714285714281E-3</v>
      </c>
      <c r="O72" s="14">
        <f t="shared" si="11"/>
        <v>2.6785714285714284E-2</v>
      </c>
      <c r="P72" s="14">
        <f t="shared" si="12"/>
        <v>4.6511627906976744E-2</v>
      </c>
      <c r="Q72" s="14">
        <f t="shared" si="13"/>
        <v>6.3193851409052093E-2</v>
      </c>
      <c r="R72" s="14">
        <f t="shared" si="14"/>
        <v>3.2680496001854215E-2</v>
      </c>
      <c r="S72" s="14">
        <f t="shared" si="15"/>
        <v>0.17810026103216878</v>
      </c>
      <c r="T72">
        <f t="shared" si="17"/>
        <v>71</v>
      </c>
      <c r="U72" s="13" t="s">
        <v>199</v>
      </c>
      <c r="V72" s="14">
        <v>0.13617068952818911</v>
      </c>
      <c r="W72" t="str">
        <f t="shared" si="16"/>
        <v>At Risk</v>
      </c>
    </row>
    <row r="73" spans="1:23" x14ac:dyDescent="0.3">
      <c r="A73" s="13" t="s">
        <v>246</v>
      </c>
      <c r="B73" s="2">
        <v>45761</v>
      </c>
      <c r="C73">
        <v>2</v>
      </c>
      <c r="D73" s="7">
        <v>26</v>
      </c>
      <c r="E73" s="7">
        <v>60000</v>
      </c>
      <c r="G73" t="s">
        <v>244</v>
      </c>
      <c r="H73" s="7">
        <v>187.5</v>
      </c>
      <c r="I73" s="7">
        <v>354250</v>
      </c>
      <c r="J73">
        <v>12</v>
      </c>
      <c r="K73" s="2">
        <v>45806</v>
      </c>
      <c r="L73">
        <f t="shared" si="9"/>
        <v>3</v>
      </c>
      <c r="N73" s="14">
        <f t="shared" si="10"/>
        <v>0.33333333333333331</v>
      </c>
      <c r="O73" s="14">
        <f t="shared" si="11"/>
        <v>1</v>
      </c>
      <c r="P73" s="14">
        <f t="shared" si="12"/>
        <v>0.27906976744186046</v>
      </c>
      <c r="Q73" s="14">
        <f t="shared" si="13"/>
        <v>0.32023911187019644</v>
      </c>
      <c r="R73" s="14">
        <f t="shared" si="14"/>
        <v>0.27368949665855447</v>
      </c>
      <c r="S73" s="14">
        <f t="shared" si="15"/>
        <v>2.2063317093039445</v>
      </c>
      <c r="T73">
        <f t="shared" si="17"/>
        <v>72</v>
      </c>
      <c r="U73" s="13" t="s">
        <v>174</v>
      </c>
      <c r="V73" s="14">
        <v>0.13268562642113774</v>
      </c>
      <c r="W73" t="str">
        <f t="shared" si="16"/>
        <v>At Risk</v>
      </c>
    </row>
    <row r="74" spans="1:23" x14ac:dyDescent="0.3">
      <c r="A74" s="13" t="s">
        <v>247</v>
      </c>
      <c r="B74" s="2">
        <v>45767</v>
      </c>
      <c r="C74">
        <v>1</v>
      </c>
      <c r="D74" s="7">
        <v>11</v>
      </c>
      <c r="E74" s="7">
        <v>27500</v>
      </c>
      <c r="G74" t="s">
        <v>245</v>
      </c>
      <c r="H74" s="7">
        <v>189</v>
      </c>
      <c r="I74" s="7">
        <v>212800</v>
      </c>
      <c r="J74">
        <v>6</v>
      </c>
      <c r="K74" s="2">
        <v>45797</v>
      </c>
      <c r="L74">
        <f t="shared" si="9"/>
        <v>12</v>
      </c>
      <c r="N74" s="14">
        <f t="shared" si="10"/>
        <v>8.3333333333333329E-2</v>
      </c>
      <c r="O74" s="14">
        <f t="shared" si="11"/>
        <v>0.25</v>
      </c>
      <c r="P74" s="14">
        <f t="shared" si="12"/>
        <v>0.13953488372093023</v>
      </c>
      <c r="Q74" s="14">
        <f t="shared" si="13"/>
        <v>0.32280102476515798</v>
      </c>
      <c r="R74" s="14">
        <f t="shared" si="14"/>
        <v>0.16440684513462356</v>
      </c>
      <c r="S74" s="14">
        <f t="shared" si="15"/>
        <v>0.96007608695404512</v>
      </c>
      <c r="T74">
        <f t="shared" si="17"/>
        <v>73</v>
      </c>
      <c r="U74" s="13" t="s">
        <v>181</v>
      </c>
      <c r="V74" s="14">
        <v>0.13220478111441708</v>
      </c>
      <c r="W74" t="str">
        <f t="shared" si="16"/>
        <v>At Risk</v>
      </c>
    </row>
    <row r="75" spans="1:23" x14ac:dyDescent="0.3">
      <c r="A75" s="13" t="s">
        <v>248</v>
      </c>
      <c r="B75" s="2">
        <v>45708</v>
      </c>
      <c r="C75">
        <v>2</v>
      </c>
      <c r="D75" s="7">
        <v>56</v>
      </c>
      <c r="E75" s="7">
        <v>65800</v>
      </c>
      <c r="G75" t="s">
        <v>246</v>
      </c>
      <c r="H75" s="7">
        <v>26</v>
      </c>
      <c r="I75" s="7">
        <v>60000</v>
      </c>
      <c r="J75">
        <v>2</v>
      </c>
      <c r="K75" s="2">
        <v>45761</v>
      </c>
      <c r="L75">
        <f t="shared" si="9"/>
        <v>48</v>
      </c>
      <c r="N75" s="14">
        <f t="shared" si="10"/>
        <v>2.0833333333333332E-2</v>
      </c>
      <c r="O75" s="14">
        <f t="shared" si="11"/>
        <v>6.25E-2</v>
      </c>
      <c r="P75" s="14">
        <f t="shared" si="12"/>
        <v>4.6511627906976744E-2</v>
      </c>
      <c r="Q75" s="14">
        <f t="shared" si="13"/>
        <v>4.4406490179333902E-2</v>
      </c>
      <c r="R75" s="14">
        <f t="shared" si="14"/>
        <v>4.6355313477807393E-2</v>
      </c>
      <c r="S75" s="14">
        <f t="shared" si="15"/>
        <v>0.22060676489745137</v>
      </c>
      <c r="T75">
        <f t="shared" si="17"/>
        <v>74</v>
      </c>
      <c r="U75" s="13" t="s">
        <v>240</v>
      </c>
      <c r="V75" s="14">
        <v>0.12898520248439255</v>
      </c>
      <c r="W75" t="str">
        <f t="shared" si="16"/>
        <v>At Risk</v>
      </c>
    </row>
    <row r="76" spans="1:23" x14ac:dyDescent="0.3">
      <c r="A76" s="13" t="s">
        <v>249</v>
      </c>
      <c r="B76" s="2">
        <v>45761</v>
      </c>
      <c r="C76">
        <v>4</v>
      </c>
      <c r="D76" s="7">
        <v>66</v>
      </c>
      <c r="E76" s="7">
        <v>121400</v>
      </c>
      <c r="G76" t="s">
        <v>247</v>
      </c>
      <c r="H76" s="7">
        <v>11</v>
      </c>
      <c r="I76" s="7">
        <v>27500</v>
      </c>
      <c r="J76">
        <v>1</v>
      </c>
      <c r="K76" s="2">
        <v>45767</v>
      </c>
      <c r="L76">
        <f t="shared" si="9"/>
        <v>42</v>
      </c>
      <c r="N76" s="14">
        <f t="shared" si="10"/>
        <v>2.3809523809523808E-2</v>
      </c>
      <c r="O76" s="14">
        <f t="shared" si="11"/>
        <v>7.1428571428571425E-2</v>
      </c>
      <c r="P76" s="14">
        <f t="shared" si="12"/>
        <v>2.3255813953488372E-2</v>
      </c>
      <c r="Q76" s="14">
        <f t="shared" si="13"/>
        <v>1.8787361229718188E-2</v>
      </c>
      <c r="R76" s="14">
        <f t="shared" si="14"/>
        <v>2.1246185343995055E-2</v>
      </c>
      <c r="S76" s="14">
        <f t="shared" si="15"/>
        <v>0.15852745576529684</v>
      </c>
      <c r="T76">
        <f t="shared" si="17"/>
        <v>75</v>
      </c>
      <c r="U76" s="13" t="s">
        <v>188</v>
      </c>
      <c r="V76" s="14">
        <v>0.12729623768697343</v>
      </c>
      <c r="W76" t="str">
        <f t="shared" si="16"/>
        <v>At Risk</v>
      </c>
    </row>
    <row r="77" spans="1:23" x14ac:dyDescent="0.3">
      <c r="A77" s="13" t="s">
        <v>250</v>
      </c>
      <c r="B77" s="2">
        <v>45754</v>
      </c>
      <c r="C77">
        <v>3</v>
      </c>
      <c r="D77" s="7">
        <v>68.5</v>
      </c>
      <c r="E77" s="7">
        <v>97500</v>
      </c>
      <c r="G77" t="s">
        <v>248</v>
      </c>
      <c r="H77" s="7">
        <v>56</v>
      </c>
      <c r="I77" s="7">
        <v>65800</v>
      </c>
      <c r="J77">
        <v>2</v>
      </c>
      <c r="K77" s="2">
        <v>45708</v>
      </c>
      <c r="L77">
        <f t="shared" si="9"/>
        <v>101</v>
      </c>
      <c r="N77" s="14">
        <f t="shared" si="10"/>
        <v>9.9009900990099011E-3</v>
      </c>
      <c r="O77" s="14">
        <f t="shared" si="11"/>
        <v>2.9702970297029705E-2</v>
      </c>
      <c r="P77" s="14">
        <f t="shared" si="12"/>
        <v>4.6511627906976744E-2</v>
      </c>
      <c r="Q77" s="14">
        <f t="shared" si="13"/>
        <v>9.5644748078565323E-2</v>
      </c>
      <c r="R77" s="14">
        <f t="shared" si="14"/>
        <v>5.0836327113995439E-2</v>
      </c>
      <c r="S77" s="14">
        <f t="shared" si="15"/>
        <v>0.23259666349557712</v>
      </c>
      <c r="T77">
        <f t="shared" si="17"/>
        <v>76</v>
      </c>
      <c r="U77" s="13" t="s">
        <v>223</v>
      </c>
      <c r="V77" s="14">
        <v>0.12172329440002984</v>
      </c>
      <c r="W77" t="str">
        <f t="shared" si="16"/>
        <v>At Risk</v>
      </c>
    </row>
    <row r="78" spans="1:23" x14ac:dyDescent="0.3">
      <c r="A78" s="13" t="s">
        <v>251</v>
      </c>
      <c r="B78" s="2">
        <v>45770</v>
      </c>
      <c r="C78">
        <v>3</v>
      </c>
      <c r="D78" s="7">
        <v>11</v>
      </c>
      <c r="E78" s="7">
        <v>55000</v>
      </c>
      <c r="G78" t="s">
        <v>249</v>
      </c>
      <c r="H78" s="7">
        <v>66</v>
      </c>
      <c r="I78" s="7">
        <v>121400</v>
      </c>
      <c r="J78">
        <v>4</v>
      </c>
      <c r="K78" s="2">
        <v>45761</v>
      </c>
      <c r="L78">
        <f t="shared" si="9"/>
        <v>48</v>
      </c>
      <c r="N78" s="14">
        <f t="shared" si="10"/>
        <v>2.0833333333333332E-2</v>
      </c>
      <c r="O78" s="14">
        <f t="shared" si="11"/>
        <v>6.25E-2</v>
      </c>
      <c r="P78" s="14">
        <f t="shared" si="12"/>
        <v>9.3023255813953487E-2</v>
      </c>
      <c r="Q78" s="14">
        <f t="shared" si="13"/>
        <v>0.11272416737830913</v>
      </c>
      <c r="R78" s="14">
        <f t="shared" si="14"/>
        <v>9.3792250936763633E-2</v>
      </c>
      <c r="S78" s="14">
        <f t="shared" si="15"/>
        <v>0.38287300746235958</v>
      </c>
      <c r="T78">
        <f t="shared" si="17"/>
        <v>77</v>
      </c>
      <c r="U78" s="13" t="s">
        <v>204</v>
      </c>
      <c r="V78" s="14">
        <v>0.12160112117408785</v>
      </c>
      <c r="W78" t="str">
        <f t="shared" si="16"/>
        <v>At Risk</v>
      </c>
    </row>
    <row r="79" spans="1:23" x14ac:dyDescent="0.3">
      <c r="A79" s="13" t="s">
        <v>180</v>
      </c>
      <c r="B79" s="2">
        <v>45785</v>
      </c>
      <c r="C79">
        <v>5</v>
      </c>
      <c r="D79" s="7">
        <v>40</v>
      </c>
      <c r="E79" s="7">
        <v>136400</v>
      </c>
      <c r="G79" t="s">
        <v>250</v>
      </c>
      <c r="H79" s="7">
        <v>68.5</v>
      </c>
      <c r="I79" s="7">
        <v>97500</v>
      </c>
      <c r="J79">
        <v>3</v>
      </c>
      <c r="K79" s="2">
        <v>45754</v>
      </c>
      <c r="L79">
        <f t="shared" si="9"/>
        <v>55</v>
      </c>
      <c r="N79" s="14">
        <f t="shared" si="10"/>
        <v>1.8181818181818181E-2</v>
      </c>
      <c r="O79" s="14">
        <f t="shared" si="11"/>
        <v>5.4545454545454543E-2</v>
      </c>
      <c r="P79" s="14">
        <f t="shared" si="12"/>
        <v>6.9767441860465115E-2</v>
      </c>
      <c r="Q79" s="14">
        <f t="shared" si="13"/>
        <v>0.11699402220324509</v>
      </c>
      <c r="R79" s="14">
        <f t="shared" si="14"/>
        <v>7.532738440143702E-2</v>
      </c>
      <c r="S79" s="14">
        <f t="shared" si="15"/>
        <v>0.33481612119241999</v>
      </c>
      <c r="T79">
        <f t="shared" si="17"/>
        <v>78</v>
      </c>
      <c r="U79" s="13" t="s">
        <v>216</v>
      </c>
      <c r="V79" s="14">
        <v>0.11704652753997521</v>
      </c>
      <c r="W79" t="str">
        <f t="shared" si="16"/>
        <v>At Risk</v>
      </c>
    </row>
    <row r="80" spans="1:23" x14ac:dyDescent="0.3">
      <c r="A80" s="13" t="s">
        <v>252</v>
      </c>
      <c r="B80" s="2">
        <v>45701</v>
      </c>
      <c r="C80">
        <v>7</v>
      </c>
      <c r="D80" s="7">
        <v>171.5</v>
      </c>
      <c r="E80" s="7">
        <v>219800</v>
      </c>
      <c r="G80" t="s">
        <v>251</v>
      </c>
      <c r="H80" s="7">
        <v>11</v>
      </c>
      <c r="I80" s="7">
        <v>55000</v>
      </c>
      <c r="J80">
        <v>3</v>
      </c>
      <c r="K80" s="2">
        <v>45770</v>
      </c>
      <c r="L80">
        <f t="shared" si="9"/>
        <v>39</v>
      </c>
      <c r="N80" s="14">
        <f t="shared" si="10"/>
        <v>2.564102564102564E-2</v>
      </c>
      <c r="O80" s="14">
        <f t="shared" si="11"/>
        <v>7.6923076923076927E-2</v>
      </c>
      <c r="P80" s="14">
        <f t="shared" si="12"/>
        <v>6.9767441860465115E-2</v>
      </c>
      <c r="Q80" s="14">
        <f t="shared" si="13"/>
        <v>1.8787361229718188E-2</v>
      </c>
      <c r="R80" s="14">
        <f t="shared" si="14"/>
        <v>4.2492370687990111E-2</v>
      </c>
      <c r="S80" s="14">
        <f t="shared" si="15"/>
        <v>0.23361127634227596</v>
      </c>
      <c r="T80">
        <f t="shared" si="17"/>
        <v>79</v>
      </c>
      <c r="U80" s="13" t="s">
        <v>177</v>
      </c>
      <c r="V80" s="14">
        <v>0.11267240205309298</v>
      </c>
      <c r="W80" t="str">
        <f t="shared" si="16"/>
        <v>At Risk</v>
      </c>
    </row>
    <row r="81" spans="1:23" x14ac:dyDescent="0.3">
      <c r="A81" s="13" t="s">
        <v>253</v>
      </c>
      <c r="B81" s="2">
        <v>45693</v>
      </c>
      <c r="C81">
        <v>2</v>
      </c>
      <c r="D81" s="7">
        <v>38</v>
      </c>
      <c r="E81" s="7">
        <v>48500</v>
      </c>
      <c r="G81" t="s">
        <v>252</v>
      </c>
      <c r="H81" s="7">
        <v>171.5</v>
      </c>
      <c r="I81" s="7">
        <v>219800</v>
      </c>
      <c r="J81">
        <v>7</v>
      </c>
      <c r="K81" s="2">
        <v>45701</v>
      </c>
      <c r="L81">
        <f t="shared" si="9"/>
        <v>108</v>
      </c>
      <c r="N81" s="14">
        <f t="shared" si="10"/>
        <v>9.2592592592592587E-3</v>
      </c>
      <c r="O81" s="14">
        <f t="shared" si="11"/>
        <v>2.7777777777777776E-2</v>
      </c>
      <c r="P81" s="14">
        <f t="shared" si="12"/>
        <v>0.16279069767441862</v>
      </c>
      <c r="Q81" s="14">
        <f t="shared" si="13"/>
        <v>0.2929120409906063</v>
      </c>
      <c r="R81" s="14">
        <f t="shared" si="14"/>
        <v>0.16981496504036775</v>
      </c>
      <c r="S81" s="14">
        <f t="shared" si="15"/>
        <v>0.6625547407424297</v>
      </c>
      <c r="T81">
        <f t="shared" si="17"/>
        <v>80</v>
      </c>
      <c r="U81" s="13" t="s">
        <v>241</v>
      </c>
      <c r="V81" s="14">
        <v>0.10660658251455962</v>
      </c>
      <c r="W81" t="str">
        <f t="shared" si="16"/>
        <v>At Risk</v>
      </c>
    </row>
    <row r="82" spans="1:23" x14ac:dyDescent="0.3">
      <c r="A82" s="13" t="s">
        <v>181</v>
      </c>
      <c r="B82" s="2">
        <v>45749</v>
      </c>
      <c r="C82">
        <v>1</v>
      </c>
      <c r="D82" s="7">
        <v>12</v>
      </c>
      <c r="E82" s="7">
        <v>28200</v>
      </c>
      <c r="G82" t="s">
        <v>253</v>
      </c>
      <c r="H82" s="7">
        <v>38</v>
      </c>
      <c r="I82" s="7">
        <v>48500</v>
      </c>
      <c r="J82">
        <v>2</v>
      </c>
      <c r="K82" s="2">
        <v>45693</v>
      </c>
      <c r="L82">
        <f t="shared" si="9"/>
        <v>116</v>
      </c>
      <c r="N82" s="14">
        <f t="shared" si="10"/>
        <v>8.6206896551724137E-3</v>
      </c>
      <c r="O82" s="14">
        <f t="shared" si="11"/>
        <v>2.5862068965517241E-2</v>
      </c>
      <c r="P82" s="14">
        <f t="shared" si="12"/>
        <v>4.6511627906976744E-2</v>
      </c>
      <c r="Q82" s="14">
        <f t="shared" si="13"/>
        <v>6.4901793339026473E-2</v>
      </c>
      <c r="R82" s="14">
        <f t="shared" si="14"/>
        <v>3.7470545061227642E-2</v>
      </c>
      <c r="S82" s="14">
        <f t="shared" si="15"/>
        <v>0.1833667249279205</v>
      </c>
      <c r="T82">
        <f t="shared" si="17"/>
        <v>81</v>
      </c>
      <c r="U82" s="13" t="s">
        <v>179</v>
      </c>
      <c r="V82" s="14">
        <v>8.5665640429787207E-2</v>
      </c>
      <c r="W82" t="str">
        <f t="shared" si="16"/>
        <v>At Risk</v>
      </c>
    </row>
    <row r="83" spans="1:23" x14ac:dyDescent="0.3">
      <c r="A83" s="13" t="s">
        <v>99</v>
      </c>
      <c r="B83" s="2">
        <v>45806</v>
      </c>
      <c r="C83">
        <v>329</v>
      </c>
      <c r="D83" s="7">
        <v>5264</v>
      </c>
      <c r="E83" s="7">
        <v>9173950</v>
      </c>
      <c r="S83" s="14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6C21-04BF-4E61-9C7F-10300ED0433E}">
  <dimension ref="A1:B82"/>
  <sheetViews>
    <sheetView workbookViewId="0">
      <selection sqref="A1:B82"/>
    </sheetView>
  </sheetViews>
  <sheetFormatPr defaultRowHeight="14.4" x14ac:dyDescent="0.3"/>
  <sheetData>
    <row r="1" spans="1:2" x14ac:dyDescent="0.3">
      <c r="A1" t="s">
        <v>171</v>
      </c>
      <c r="B1" t="s">
        <v>172</v>
      </c>
    </row>
    <row r="2" spans="1:2" x14ac:dyDescent="0.3">
      <c r="A2" s="13" t="s">
        <v>48</v>
      </c>
      <c r="B2" t="s">
        <v>173</v>
      </c>
    </row>
    <row r="3" spans="1:2" x14ac:dyDescent="0.3">
      <c r="A3" s="13" t="s">
        <v>22</v>
      </c>
      <c r="B3" t="s">
        <v>174</v>
      </c>
    </row>
    <row r="4" spans="1:2" x14ac:dyDescent="0.3">
      <c r="A4" s="13" t="s">
        <v>64</v>
      </c>
      <c r="B4" t="s">
        <v>175</v>
      </c>
    </row>
    <row r="5" spans="1:2" x14ac:dyDescent="0.3">
      <c r="A5" s="13" t="s">
        <v>27</v>
      </c>
      <c r="B5" t="s">
        <v>176</v>
      </c>
    </row>
    <row r="6" spans="1:2" x14ac:dyDescent="0.3">
      <c r="A6" s="13" t="s">
        <v>25</v>
      </c>
      <c r="B6" t="s">
        <v>177</v>
      </c>
    </row>
    <row r="7" spans="1:2" x14ac:dyDescent="0.3">
      <c r="A7" s="13" t="s">
        <v>24</v>
      </c>
      <c r="B7" t="s">
        <v>178</v>
      </c>
    </row>
    <row r="8" spans="1:2" x14ac:dyDescent="0.3">
      <c r="A8" s="13" t="s">
        <v>19</v>
      </c>
      <c r="B8" t="s">
        <v>179</v>
      </c>
    </row>
    <row r="9" spans="1:2" x14ac:dyDescent="0.3">
      <c r="A9" s="13" t="s">
        <v>34</v>
      </c>
      <c r="B9" t="s">
        <v>180</v>
      </c>
    </row>
    <row r="10" spans="1:2" x14ac:dyDescent="0.3">
      <c r="A10" s="13" t="s">
        <v>54</v>
      </c>
      <c r="B10" t="s">
        <v>181</v>
      </c>
    </row>
    <row r="11" spans="1:2" x14ac:dyDescent="0.3">
      <c r="A11" s="13" t="s">
        <v>16</v>
      </c>
      <c r="B11" t="s">
        <v>182</v>
      </c>
    </row>
    <row r="12" spans="1:2" x14ac:dyDescent="0.3">
      <c r="A12" s="13" t="s">
        <v>82</v>
      </c>
      <c r="B12" t="s">
        <v>183</v>
      </c>
    </row>
    <row r="13" spans="1:2" x14ac:dyDescent="0.3">
      <c r="A13" s="13" t="s">
        <v>66</v>
      </c>
      <c r="B13" t="s">
        <v>184</v>
      </c>
    </row>
    <row r="14" spans="1:2" x14ac:dyDescent="0.3">
      <c r="A14" s="13" t="s">
        <v>81</v>
      </c>
      <c r="B14" t="s">
        <v>185</v>
      </c>
    </row>
    <row r="15" spans="1:2" x14ac:dyDescent="0.3">
      <c r="A15" s="13" t="s">
        <v>60</v>
      </c>
      <c r="B15" t="s">
        <v>186</v>
      </c>
    </row>
    <row r="16" spans="1:2" x14ac:dyDescent="0.3">
      <c r="A16" s="13" t="s">
        <v>43</v>
      </c>
      <c r="B16" t="s">
        <v>187</v>
      </c>
    </row>
    <row r="17" spans="1:2" x14ac:dyDescent="0.3">
      <c r="A17" s="13" t="s">
        <v>55</v>
      </c>
      <c r="B17" t="s">
        <v>188</v>
      </c>
    </row>
    <row r="18" spans="1:2" x14ac:dyDescent="0.3">
      <c r="A18" s="13" t="s">
        <v>76</v>
      </c>
      <c r="B18" t="s">
        <v>189</v>
      </c>
    </row>
    <row r="19" spans="1:2" x14ac:dyDescent="0.3">
      <c r="A19" s="13" t="s">
        <v>42</v>
      </c>
      <c r="B19" t="s">
        <v>190</v>
      </c>
    </row>
    <row r="20" spans="1:2" x14ac:dyDescent="0.3">
      <c r="A20" s="13" t="s">
        <v>6</v>
      </c>
      <c r="B20" t="s">
        <v>191</v>
      </c>
    </row>
    <row r="21" spans="1:2" x14ac:dyDescent="0.3">
      <c r="A21" s="13" t="s">
        <v>31</v>
      </c>
      <c r="B21" t="s">
        <v>192</v>
      </c>
    </row>
    <row r="22" spans="1:2" x14ac:dyDescent="0.3">
      <c r="A22" s="13" t="s">
        <v>8</v>
      </c>
      <c r="B22" t="s">
        <v>193</v>
      </c>
    </row>
    <row r="23" spans="1:2" x14ac:dyDescent="0.3">
      <c r="A23" s="13" t="s">
        <v>86</v>
      </c>
      <c r="B23" t="s">
        <v>194</v>
      </c>
    </row>
    <row r="24" spans="1:2" x14ac:dyDescent="0.3">
      <c r="A24" s="13" t="s">
        <v>52</v>
      </c>
      <c r="B24" t="s">
        <v>195</v>
      </c>
    </row>
    <row r="25" spans="1:2" x14ac:dyDescent="0.3">
      <c r="A25" s="13" t="s">
        <v>53</v>
      </c>
      <c r="B25" t="s">
        <v>196</v>
      </c>
    </row>
    <row r="26" spans="1:2" x14ac:dyDescent="0.3">
      <c r="A26" s="13" t="s">
        <v>26</v>
      </c>
      <c r="B26" t="s">
        <v>197</v>
      </c>
    </row>
    <row r="27" spans="1:2" x14ac:dyDescent="0.3">
      <c r="A27" s="13" t="s">
        <v>51</v>
      </c>
      <c r="B27" t="s">
        <v>198</v>
      </c>
    </row>
    <row r="28" spans="1:2" x14ac:dyDescent="0.3">
      <c r="A28" s="13" t="s">
        <v>67</v>
      </c>
      <c r="B28" t="s">
        <v>199</v>
      </c>
    </row>
    <row r="29" spans="1:2" x14ac:dyDescent="0.3">
      <c r="A29" s="13" t="s">
        <v>62</v>
      </c>
      <c r="B29" t="s">
        <v>200</v>
      </c>
    </row>
    <row r="30" spans="1:2" x14ac:dyDescent="0.3">
      <c r="A30" s="13" t="s">
        <v>79</v>
      </c>
      <c r="B30" t="s">
        <v>201</v>
      </c>
    </row>
    <row r="31" spans="1:2" x14ac:dyDescent="0.3">
      <c r="A31" s="13" t="s">
        <v>50</v>
      </c>
      <c r="B31" t="s">
        <v>202</v>
      </c>
    </row>
    <row r="32" spans="1:2" x14ac:dyDescent="0.3">
      <c r="A32" s="13" t="s">
        <v>85</v>
      </c>
      <c r="B32" t="s">
        <v>203</v>
      </c>
    </row>
    <row r="33" spans="1:2" x14ac:dyDescent="0.3">
      <c r="A33" s="13" t="s">
        <v>63</v>
      </c>
      <c r="B33" t="s">
        <v>204</v>
      </c>
    </row>
    <row r="34" spans="1:2" x14ac:dyDescent="0.3">
      <c r="A34" s="13" t="s">
        <v>36</v>
      </c>
      <c r="B34" t="s">
        <v>205</v>
      </c>
    </row>
    <row r="35" spans="1:2" x14ac:dyDescent="0.3">
      <c r="A35" s="13" t="s">
        <v>80</v>
      </c>
      <c r="B35" t="s">
        <v>206</v>
      </c>
    </row>
    <row r="36" spans="1:2" x14ac:dyDescent="0.3">
      <c r="A36" s="13" t="s">
        <v>83</v>
      </c>
      <c r="B36" t="s">
        <v>207</v>
      </c>
    </row>
    <row r="37" spans="1:2" x14ac:dyDescent="0.3">
      <c r="A37" s="13" t="s">
        <v>88</v>
      </c>
      <c r="B37" t="s">
        <v>208</v>
      </c>
    </row>
    <row r="38" spans="1:2" x14ac:dyDescent="0.3">
      <c r="A38" s="13" t="s">
        <v>21</v>
      </c>
      <c r="B38" t="s">
        <v>209</v>
      </c>
    </row>
    <row r="39" spans="1:2" x14ac:dyDescent="0.3">
      <c r="A39" s="13" t="s">
        <v>49</v>
      </c>
      <c r="B39" t="s">
        <v>210</v>
      </c>
    </row>
    <row r="40" spans="1:2" x14ac:dyDescent="0.3">
      <c r="A40" s="13" t="s">
        <v>32</v>
      </c>
      <c r="B40" t="s">
        <v>211</v>
      </c>
    </row>
    <row r="41" spans="1:2" x14ac:dyDescent="0.3">
      <c r="A41" s="13" t="s">
        <v>56</v>
      </c>
      <c r="B41" t="s">
        <v>212</v>
      </c>
    </row>
    <row r="42" spans="1:2" x14ac:dyDescent="0.3">
      <c r="A42" s="13" t="s">
        <v>68</v>
      </c>
      <c r="B42" t="s">
        <v>213</v>
      </c>
    </row>
    <row r="43" spans="1:2" x14ac:dyDescent="0.3">
      <c r="A43" s="13" t="s">
        <v>10</v>
      </c>
      <c r="B43" t="s">
        <v>214</v>
      </c>
    </row>
    <row r="44" spans="1:2" x14ac:dyDescent="0.3">
      <c r="A44" s="13" t="s">
        <v>78</v>
      </c>
      <c r="B44" t="s">
        <v>215</v>
      </c>
    </row>
    <row r="45" spans="1:2" x14ac:dyDescent="0.3">
      <c r="A45" s="13" t="s">
        <v>46</v>
      </c>
      <c r="B45" t="s">
        <v>216</v>
      </c>
    </row>
    <row r="46" spans="1:2" x14ac:dyDescent="0.3">
      <c r="A46" s="13" t="s">
        <v>71</v>
      </c>
      <c r="B46" t="s">
        <v>217</v>
      </c>
    </row>
    <row r="47" spans="1:2" x14ac:dyDescent="0.3">
      <c r="A47" s="13" t="s">
        <v>61</v>
      </c>
      <c r="B47" t="s">
        <v>218</v>
      </c>
    </row>
    <row r="48" spans="1:2" x14ac:dyDescent="0.3">
      <c r="A48" s="13" t="s">
        <v>15</v>
      </c>
      <c r="B48" t="s">
        <v>219</v>
      </c>
    </row>
    <row r="49" spans="1:2" x14ac:dyDescent="0.3">
      <c r="A49" s="13" t="s">
        <v>77</v>
      </c>
      <c r="B49" t="s">
        <v>220</v>
      </c>
    </row>
    <row r="50" spans="1:2" x14ac:dyDescent="0.3">
      <c r="A50" s="13" t="s">
        <v>41</v>
      </c>
      <c r="B50" t="s">
        <v>221</v>
      </c>
    </row>
    <row r="51" spans="1:2" x14ac:dyDescent="0.3">
      <c r="A51" s="13" t="s">
        <v>23</v>
      </c>
      <c r="B51" t="s">
        <v>222</v>
      </c>
    </row>
    <row r="52" spans="1:2" x14ac:dyDescent="0.3">
      <c r="A52" s="13" t="s">
        <v>47</v>
      </c>
      <c r="B52" t="s">
        <v>223</v>
      </c>
    </row>
    <row r="53" spans="1:2" x14ac:dyDescent="0.3">
      <c r="A53" s="13" t="s">
        <v>29</v>
      </c>
      <c r="B53" t="s">
        <v>224</v>
      </c>
    </row>
    <row r="54" spans="1:2" x14ac:dyDescent="0.3">
      <c r="A54" s="13" t="s">
        <v>89</v>
      </c>
      <c r="B54" t="s">
        <v>225</v>
      </c>
    </row>
    <row r="55" spans="1:2" x14ac:dyDescent="0.3">
      <c r="A55" s="13" t="s">
        <v>28</v>
      </c>
      <c r="B55" t="s">
        <v>226</v>
      </c>
    </row>
    <row r="56" spans="1:2" x14ac:dyDescent="0.3">
      <c r="A56" s="13" t="s">
        <v>75</v>
      </c>
      <c r="B56" t="s">
        <v>227</v>
      </c>
    </row>
    <row r="57" spans="1:2" x14ac:dyDescent="0.3">
      <c r="A57" s="13" t="s">
        <v>90</v>
      </c>
      <c r="B57" t="s">
        <v>228</v>
      </c>
    </row>
    <row r="58" spans="1:2" x14ac:dyDescent="0.3">
      <c r="A58" s="13" t="s">
        <v>57</v>
      </c>
      <c r="B58" t="s">
        <v>229</v>
      </c>
    </row>
    <row r="59" spans="1:2" x14ac:dyDescent="0.3">
      <c r="A59" s="13" t="s">
        <v>69</v>
      </c>
      <c r="B59" t="s">
        <v>230</v>
      </c>
    </row>
    <row r="60" spans="1:2" x14ac:dyDescent="0.3">
      <c r="A60" s="13" t="s">
        <v>40</v>
      </c>
      <c r="B60" t="s">
        <v>231</v>
      </c>
    </row>
    <row r="61" spans="1:2" x14ac:dyDescent="0.3">
      <c r="A61" s="13" t="s">
        <v>14</v>
      </c>
      <c r="B61" t="s">
        <v>232</v>
      </c>
    </row>
    <row r="62" spans="1:2" x14ac:dyDescent="0.3">
      <c r="A62" s="13" t="s">
        <v>72</v>
      </c>
      <c r="B62" t="s">
        <v>233</v>
      </c>
    </row>
    <row r="63" spans="1:2" x14ac:dyDescent="0.3">
      <c r="A63" s="13" t="s">
        <v>35</v>
      </c>
      <c r="B63" t="s">
        <v>234</v>
      </c>
    </row>
    <row r="64" spans="1:2" x14ac:dyDescent="0.3">
      <c r="A64" s="13" t="s">
        <v>59</v>
      </c>
      <c r="B64" t="s">
        <v>235</v>
      </c>
    </row>
    <row r="65" spans="1:2" x14ac:dyDescent="0.3">
      <c r="A65" s="13" t="s">
        <v>84</v>
      </c>
      <c r="B65" t="s">
        <v>236</v>
      </c>
    </row>
    <row r="66" spans="1:2" x14ac:dyDescent="0.3">
      <c r="A66" s="13" t="s">
        <v>87</v>
      </c>
      <c r="B66" t="s">
        <v>237</v>
      </c>
    </row>
    <row r="67" spans="1:2" x14ac:dyDescent="0.3">
      <c r="A67" s="13" t="s">
        <v>44</v>
      </c>
      <c r="B67" t="s">
        <v>238</v>
      </c>
    </row>
    <row r="68" spans="1:2" x14ac:dyDescent="0.3">
      <c r="A68" s="13" t="s">
        <v>12</v>
      </c>
      <c r="B68" t="s">
        <v>239</v>
      </c>
    </row>
    <row r="69" spans="1:2" x14ac:dyDescent="0.3">
      <c r="A69" s="13" t="s">
        <v>37</v>
      </c>
      <c r="B69" t="s">
        <v>240</v>
      </c>
    </row>
    <row r="70" spans="1:2" x14ac:dyDescent="0.3">
      <c r="A70" s="13" t="s">
        <v>38</v>
      </c>
      <c r="B70" t="s">
        <v>241</v>
      </c>
    </row>
    <row r="71" spans="1:2" x14ac:dyDescent="0.3">
      <c r="A71" s="13" t="s">
        <v>74</v>
      </c>
      <c r="B71" t="s">
        <v>242</v>
      </c>
    </row>
    <row r="72" spans="1:2" x14ac:dyDescent="0.3">
      <c r="A72" s="13" t="s">
        <v>20</v>
      </c>
      <c r="B72" t="s">
        <v>243</v>
      </c>
    </row>
    <row r="73" spans="1:2" x14ac:dyDescent="0.3">
      <c r="A73" s="13" t="s">
        <v>33</v>
      </c>
      <c r="B73" t="s">
        <v>244</v>
      </c>
    </row>
    <row r="74" spans="1:2" x14ac:dyDescent="0.3">
      <c r="A74" s="13" t="s">
        <v>39</v>
      </c>
      <c r="B74" t="s">
        <v>245</v>
      </c>
    </row>
    <row r="75" spans="1:2" x14ac:dyDescent="0.3">
      <c r="A75" s="13" t="s">
        <v>65</v>
      </c>
      <c r="B75" t="s">
        <v>246</v>
      </c>
    </row>
    <row r="76" spans="1:2" x14ac:dyDescent="0.3">
      <c r="A76" s="13" t="s">
        <v>70</v>
      </c>
      <c r="B76" t="s">
        <v>247</v>
      </c>
    </row>
    <row r="77" spans="1:2" x14ac:dyDescent="0.3">
      <c r="A77" s="13" t="s">
        <v>30</v>
      </c>
      <c r="B77" t="s">
        <v>248</v>
      </c>
    </row>
    <row r="78" spans="1:2" x14ac:dyDescent="0.3">
      <c r="A78" s="13" t="s">
        <v>45</v>
      </c>
      <c r="B78" t="s">
        <v>249</v>
      </c>
    </row>
    <row r="79" spans="1:2" x14ac:dyDescent="0.3">
      <c r="A79" s="13" t="s">
        <v>58</v>
      </c>
      <c r="B79" t="s">
        <v>250</v>
      </c>
    </row>
    <row r="80" spans="1:2" x14ac:dyDescent="0.3">
      <c r="A80" s="13" t="s">
        <v>5</v>
      </c>
      <c r="B80" t="s">
        <v>251</v>
      </c>
    </row>
    <row r="81" spans="1:2" x14ac:dyDescent="0.3">
      <c r="A81" s="13" t="s">
        <v>18</v>
      </c>
      <c r="B81" t="s">
        <v>252</v>
      </c>
    </row>
    <row r="82" spans="1:2" x14ac:dyDescent="0.3">
      <c r="A82" s="13" t="s">
        <v>11</v>
      </c>
      <c r="B82" t="s">
        <v>253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893E-D35C-4132-B70B-479128BCF8C9}">
  <dimension ref="A1:N76"/>
  <sheetViews>
    <sheetView workbookViewId="0">
      <selection activeCell="C2" sqref="C2:C55"/>
    </sheetView>
  </sheetViews>
  <sheetFormatPr defaultRowHeight="14.4" x14ac:dyDescent="0.3"/>
  <cols>
    <col min="1" max="1" width="10.6640625" style="12" customWidth="1"/>
    <col min="2" max="3" width="16.33203125" style="12" customWidth="1"/>
    <col min="4" max="4" width="15" style="12" customWidth="1"/>
    <col min="9" max="9" width="12.5546875" bestFit="1" customWidth="1"/>
    <col min="10" max="11" width="17.5546875" bestFit="1" customWidth="1"/>
  </cols>
  <sheetData>
    <row r="1" spans="1:14" x14ac:dyDescent="0.3">
      <c r="A1" s="12" t="s">
        <v>117</v>
      </c>
      <c r="B1" s="12" t="s">
        <v>118</v>
      </c>
      <c r="C1" s="12" t="s">
        <v>132</v>
      </c>
      <c r="D1" s="12" t="s">
        <v>129</v>
      </c>
      <c r="E1" t="s">
        <v>119</v>
      </c>
      <c r="F1" t="s">
        <v>120</v>
      </c>
      <c r="G1" t="s">
        <v>121</v>
      </c>
      <c r="I1" s="8" t="s">
        <v>129</v>
      </c>
      <c r="J1" t="s">
        <v>131</v>
      </c>
    </row>
    <row r="2" spans="1:14" x14ac:dyDescent="0.3">
      <c r="A2" s="12">
        <v>0.18472222222222201</v>
      </c>
      <c r="B2" s="12">
        <v>0.26388888888888901</v>
      </c>
      <c r="C2" s="12" t="s">
        <v>169</v>
      </c>
      <c r="D2" s="12">
        <v>7.9166666666666705E-2</v>
      </c>
      <c r="E2">
        <v>114</v>
      </c>
      <c r="F2" t="s">
        <v>122</v>
      </c>
      <c r="G2" t="s">
        <v>124</v>
      </c>
    </row>
    <row r="3" spans="1:14" x14ac:dyDescent="0.3">
      <c r="A3" s="12">
        <v>0.20138888888888901</v>
      </c>
      <c r="B3" s="12">
        <v>0.3125</v>
      </c>
      <c r="C3" s="12" t="s">
        <v>166</v>
      </c>
      <c r="D3" s="12">
        <v>0.11111111111111099</v>
      </c>
      <c r="E3">
        <v>160</v>
      </c>
      <c r="F3" t="s">
        <v>122</v>
      </c>
      <c r="G3" t="s">
        <v>125</v>
      </c>
      <c r="I3" s="8" t="s">
        <v>100</v>
      </c>
      <c r="J3" t="s">
        <v>130</v>
      </c>
      <c r="K3" t="s">
        <v>132</v>
      </c>
      <c r="L3" t="s">
        <v>133</v>
      </c>
    </row>
    <row r="4" spans="1:14" x14ac:dyDescent="0.3">
      <c r="A4" s="12">
        <v>0.20138888888888901</v>
      </c>
      <c r="B4" s="12">
        <v>0.30555555555555602</v>
      </c>
      <c r="C4" s="12" t="s">
        <v>168</v>
      </c>
      <c r="D4" s="12">
        <v>0.104166666666667</v>
      </c>
      <c r="E4">
        <v>150</v>
      </c>
      <c r="F4" t="s">
        <v>122</v>
      </c>
      <c r="G4" t="s">
        <v>125</v>
      </c>
      <c r="I4" s="13" t="s">
        <v>126</v>
      </c>
      <c r="J4">
        <v>160</v>
      </c>
      <c r="K4" t="s">
        <v>162</v>
      </c>
      <c r="L4" s="7">
        <v>176.66666666666666</v>
      </c>
      <c r="N4" s="13"/>
    </row>
    <row r="5" spans="1:14" x14ac:dyDescent="0.3">
      <c r="A5" s="12">
        <v>0.20833333333333301</v>
      </c>
      <c r="B5" s="12">
        <v>0.30555555555555602</v>
      </c>
      <c r="C5" s="12" t="s">
        <v>164</v>
      </c>
      <c r="D5" s="12">
        <v>9.7222222222222196E-2</v>
      </c>
      <c r="E5">
        <v>140</v>
      </c>
      <c r="F5" t="s">
        <v>122</v>
      </c>
      <c r="G5" t="s">
        <v>125</v>
      </c>
      <c r="I5" s="13" t="s">
        <v>125</v>
      </c>
      <c r="J5">
        <v>150.66666666666666</v>
      </c>
      <c r="K5" t="s">
        <v>163</v>
      </c>
      <c r="L5" s="7">
        <v>102.22222222222223</v>
      </c>
      <c r="N5" s="13"/>
    </row>
    <row r="6" spans="1:14" x14ac:dyDescent="0.3">
      <c r="A6" s="12">
        <v>0.21527777777777801</v>
      </c>
      <c r="B6" s="12">
        <v>0.33333333333333298</v>
      </c>
      <c r="C6" s="12" t="s">
        <v>167</v>
      </c>
      <c r="D6" s="12">
        <v>0.118055555555556</v>
      </c>
      <c r="E6">
        <v>170</v>
      </c>
      <c r="F6" t="s">
        <v>122</v>
      </c>
      <c r="G6" t="s">
        <v>125</v>
      </c>
      <c r="I6" s="13" t="s">
        <v>127</v>
      </c>
      <c r="J6">
        <v>180.25</v>
      </c>
      <c r="K6" t="s">
        <v>164</v>
      </c>
      <c r="L6" s="7">
        <v>135.625</v>
      </c>
      <c r="N6" s="13"/>
    </row>
    <row r="7" spans="1:14" x14ac:dyDescent="0.3">
      <c r="A7" s="12">
        <v>0.22291666666666701</v>
      </c>
      <c r="B7" s="12">
        <v>0.31597222222222199</v>
      </c>
      <c r="C7" s="12" t="s">
        <v>163</v>
      </c>
      <c r="D7" s="12">
        <v>9.3055555555555503E-2</v>
      </c>
      <c r="E7">
        <v>134</v>
      </c>
      <c r="F7" t="s">
        <v>122</v>
      </c>
      <c r="G7" t="s">
        <v>125</v>
      </c>
      <c r="I7" s="13" t="s">
        <v>124</v>
      </c>
      <c r="J7">
        <v>105.51724137931035</v>
      </c>
      <c r="K7" t="s">
        <v>165</v>
      </c>
      <c r="L7" s="7">
        <v>40</v>
      </c>
      <c r="N7" s="13"/>
    </row>
    <row r="8" spans="1:14" x14ac:dyDescent="0.3">
      <c r="A8" s="12">
        <v>0.27083333333333298</v>
      </c>
      <c r="B8" s="12">
        <v>0.375</v>
      </c>
      <c r="C8" s="12" t="s">
        <v>169</v>
      </c>
      <c r="D8" s="12">
        <v>0.104166666666667</v>
      </c>
      <c r="E8">
        <v>150</v>
      </c>
      <c r="F8" t="s">
        <v>122</v>
      </c>
      <c r="G8" t="s">
        <v>125</v>
      </c>
      <c r="I8" s="13" t="s">
        <v>128</v>
      </c>
      <c r="J8">
        <v>55</v>
      </c>
      <c r="K8" t="s">
        <v>166</v>
      </c>
      <c r="L8" s="7">
        <v>125</v>
      </c>
      <c r="N8" s="13"/>
    </row>
    <row r="9" spans="1:14" x14ac:dyDescent="0.3">
      <c r="A9" s="12">
        <v>0.29166666666666702</v>
      </c>
      <c r="B9" s="12">
        <v>0.375</v>
      </c>
      <c r="C9" s="12" t="s">
        <v>168</v>
      </c>
      <c r="D9" s="12">
        <v>8.3333333333333301E-2</v>
      </c>
      <c r="E9">
        <v>120</v>
      </c>
      <c r="F9" t="s">
        <v>122</v>
      </c>
      <c r="G9" t="s">
        <v>124</v>
      </c>
      <c r="I9" s="13" t="s">
        <v>99</v>
      </c>
      <c r="J9">
        <v>129.25925925925927</v>
      </c>
      <c r="K9" t="s">
        <v>167</v>
      </c>
      <c r="L9" s="7">
        <v>129.375</v>
      </c>
      <c r="N9" s="13"/>
    </row>
    <row r="10" spans="1:14" x14ac:dyDescent="0.3">
      <c r="A10" s="12">
        <v>0.3125</v>
      </c>
      <c r="B10" s="12">
        <v>0.48611111111111099</v>
      </c>
      <c r="C10" s="12" t="s">
        <v>164</v>
      </c>
      <c r="D10" s="12">
        <v>0.17361111111111099</v>
      </c>
      <c r="E10">
        <v>250</v>
      </c>
      <c r="F10" t="s">
        <v>122</v>
      </c>
      <c r="G10" t="s">
        <v>124</v>
      </c>
      <c r="K10" t="s">
        <v>168</v>
      </c>
      <c r="L10" s="7">
        <v>156.83333333333334</v>
      </c>
      <c r="N10" s="13"/>
    </row>
    <row r="11" spans="1:14" x14ac:dyDescent="0.3">
      <c r="A11" s="12">
        <v>0.31597222222222199</v>
      </c>
      <c r="B11" s="12">
        <v>0.41666666666666702</v>
      </c>
      <c r="C11" s="12" t="s">
        <v>163</v>
      </c>
      <c r="D11" s="12">
        <v>0.100694444444444</v>
      </c>
      <c r="E11">
        <v>145</v>
      </c>
      <c r="F11" t="s">
        <v>122</v>
      </c>
      <c r="G11" t="s">
        <v>124</v>
      </c>
      <c r="K11" t="s">
        <v>169</v>
      </c>
      <c r="L11" s="7">
        <v>145.57142857142858</v>
      </c>
      <c r="N11" s="13"/>
    </row>
    <row r="12" spans="1:14" x14ac:dyDescent="0.3">
      <c r="A12" s="12">
        <v>0.32291666666666702</v>
      </c>
      <c r="B12" s="12">
        <v>0.41666666666666702</v>
      </c>
      <c r="C12" s="12" t="s">
        <v>166</v>
      </c>
      <c r="D12" s="12">
        <v>9.375E-2</v>
      </c>
      <c r="E12">
        <v>135</v>
      </c>
      <c r="F12" t="s">
        <v>122</v>
      </c>
      <c r="G12" t="s">
        <v>124</v>
      </c>
      <c r="K12" t="s">
        <v>170</v>
      </c>
      <c r="L12" s="7">
        <v>165</v>
      </c>
      <c r="N12" s="13"/>
    </row>
    <row r="13" spans="1:14" x14ac:dyDescent="0.3">
      <c r="A13" s="12">
        <v>0.33333333333333298</v>
      </c>
      <c r="B13" s="12">
        <v>0.43055555555555602</v>
      </c>
      <c r="C13" s="12" t="s">
        <v>167</v>
      </c>
      <c r="D13" s="12">
        <v>9.7222222222222293E-2</v>
      </c>
      <c r="E13">
        <v>140</v>
      </c>
      <c r="F13" t="s">
        <v>122</v>
      </c>
      <c r="G13" t="s">
        <v>124</v>
      </c>
    </row>
    <row r="14" spans="1:14" x14ac:dyDescent="0.3">
      <c r="A14" s="12">
        <v>0.375</v>
      </c>
      <c r="B14" s="12">
        <v>0.51388888888888895</v>
      </c>
      <c r="C14" s="12" t="s">
        <v>168</v>
      </c>
      <c r="D14" s="12">
        <v>0.13888888888888901</v>
      </c>
      <c r="E14">
        <v>200</v>
      </c>
      <c r="F14" t="s">
        <v>122</v>
      </c>
      <c r="G14" t="s">
        <v>124</v>
      </c>
    </row>
    <row r="15" spans="1:14" x14ac:dyDescent="0.3">
      <c r="A15" s="12">
        <v>0.38194444444444398</v>
      </c>
      <c r="B15" s="12">
        <v>0.52083333333333304</v>
      </c>
      <c r="C15" s="12" t="s">
        <v>169</v>
      </c>
      <c r="D15" s="12">
        <v>0.13888888888888901</v>
      </c>
      <c r="E15">
        <v>200</v>
      </c>
      <c r="F15" t="s">
        <v>122</v>
      </c>
      <c r="G15" t="s">
        <v>124</v>
      </c>
    </row>
    <row r="16" spans="1:14" x14ac:dyDescent="0.3">
      <c r="A16" s="12">
        <v>0.41666666666666702</v>
      </c>
      <c r="B16" s="12">
        <v>0.54166666666666696</v>
      </c>
      <c r="C16" s="12" t="s">
        <v>163</v>
      </c>
      <c r="D16" s="12">
        <v>0.125</v>
      </c>
      <c r="E16">
        <v>180</v>
      </c>
      <c r="F16" t="s">
        <v>122</v>
      </c>
      <c r="G16" t="s">
        <v>124</v>
      </c>
    </row>
    <row r="17" spans="1:7" x14ac:dyDescent="0.3">
      <c r="A17" s="12">
        <v>0.43055555555555602</v>
      </c>
      <c r="B17" s="12">
        <v>0.59722222222222199</v>
      </c>
      <c r="C17" s="12" t="s">
        <v>166</v>
      </c>
      <c r="D17" s="12">
        <v>0.16666666666666699</v>
      </c>
      <c r="E17">
        <v>240</v>
      </c>
      <c r="F17" t="s">
        <v>122</v>
      </c>
      <c r="G17" t="s">
        <v>124</v>
      </c>
    </row>
    <row r="18" spans="1:7" x14ac:dyDescent="0.3">
      <c r="A18" s="12">
        <v>0.44097222222222199</v>
      </c>
      <c r="B18" s="12">
        <v>0.63194444444444398</v>
      </c>
      <c r="C18" s="12" t="s">
        <v>167</v>
      </c>
      <c r="D18" s="12">
        <v>0.19097222222222199</v>
      </c>
      <c r="E18">
        <v>275</v>
      </c>
      <c r="F18" t="s">
        <v>122</v>
      </c>
      <c r="G18" t="s">
        <v>124</v>
      </c>
    </row>
    <row r="19" spans="1:7" x14ac:dyDescent="0.3">
      <c r="A19" s="12">
        <v>0.45833333333333298</v>
      </c>
      <c r="B19" s="12">
        <v>0.58333333333333304</v>
      </c>
      <c r="C19" s="12" t="s">
        <v>164</v>
      </c>
      <c r="D19" s="12">
        <v>0.125</v>
      </c>
      <c r="E19">
        <v>180</v>
      </c>
      <c r="F19" t="s">
        <v>122</v>
      </c>
      <c r="G19" t="s">
        <v>124</v>
      </c>
    </row>
    <row r="20" spans="1:7" x14ac:dyDescent="0.3">
      <c r="A20" s="12">
        <v>0.48611111111111099</v>
      </c>
      <c r="B20" s="12">
        <v>0.625</v>
      </c>
      <c r="C20" s="12" t="s">
        <v>162</v>
      </c>
      <c r="D20" s="12">
        <v>0.13888888888888901</v>
      </c>
      <c r="E20">
        <v>200</v>
      </c>
      <c r="F20" t="s">
        <v>122</v>
      </c>
      <c r="G20" t="s">
        <v>124</v>
      </c>
    </row>
    <row r="21" spans="1:7" x14ac:dyDescent="0.3">
      <c r="A21" s="12">
        <v>0.5</v>
      </c>
      <c r="B21" s="12">
        <v>0.63888888888888895</v>
      </c>
      <c r="C21" s="12" t="s">
        <v>170</v>
      </c>
      <c r="D21" s="12">
        <v>0.13888888888888901</v>
      </c>
      <c r="E21">
        <v>200</v>
      </c>
      <c r="F21" t="s">
        <v>122</v>
      </c>
      <c r="G21" t="s">
        <v>126</v>
      </c>
    </row>
    <row r="22" spans="1:7" x14ac:dyDescent="0.3">
      <c r="A22" s="12">
        <v>0.52083333333333304</v>
      </c>
      <c r="B22" s="12">
        <v>0.64583333333333304</v>
      </c>
      <c r="C22" s="12" t="s">
        <v>168</v>
      </c>
      <c r="D22" s="12">
        <v>0.125</v>
      </c>
      <c r="E22">
        <v>180</v>
      </c>
      <c r="F22" t="s">
        <v>122</v>
      </c>
      <c r="G22" t="s">
        <v>126</v>
      </c>
    </row>
    <row r="23" spans="1:7" x14ac:dyDescent="0.3">
      <c r="A23" s="12">
        <v>0.52777777777777801</v>
      </c>
      <c r="B23" s="12">
        <v>0.65277777777777801</v>
      </c>
      <c r="C23" s="12" t="s">
        <v>169</v>
      </c>
      <c r="D23" s="12">
        <v>0.125</v>
      </c>
      <c r="E23">
        <v>180</v>
      </c>
      <c r="F23" t="s">
        <v>122</v>
      </c>
      <c r="G23" t="s">
        <v>126</v>
      </c>
    </row>
    <row r="24" spans="1:7" x14ac:dyDescent="0.3">
      <c r="A24" s="12">
        <v>0.55555555555555602</v>
      </c>
      <c r="B24" s="12">
        <v>0.65972222222222199</v>
      </c>
      <c r="C24" s="12" t="s">
        <v>163</v>
      </c>
      <c r="D24" s="12">
        <v>0.104166666666667</v>
      </c>
      <c r="E24">
        <v>150</v>
      </c>
      <c r="F24" t="s">
        <v>122</v>
      </c>
      <c r="G24" t="s">
        <v>126</v>
      </c>
    </row>
    <row r="25" spans="1:7" x14ac:dyDescent="0.3">
      <c r="A25" s="12">
        <v>0.58333333333333304</v>
      </c>
      <c r="B25" s="12">
        <v>0.70833333333333304</v>
      </c>
      <c r="C25" s="12" t="s">
        <v>164</v>
      </c>
      <c r="D25" s="12">
        <v>0.125</v>
      </c>
      <c r="E25">
        <v>180</v>
      </c>
      <c r="F25" t="s">
        <v>122</v>
      </c>
      <c r="G25" t="s">
        <v>126</v>
      </c>
    </row>
    <row r="26" spans="1:7" x14ac:dyDescent="0.3">
      <c r="A26" s="12">
        <v>0.60416666666666696</v>
      </c>
      <c r="B26" s="12">
        <v>0.70138888888888895</v>
      </c>
      <c r="C26" s="12" t="s">
        <v>166</v>
      </c>
      <c r="D26" s="12">
        <v>9.7222222222222196E-2</v>
      </c>
      <c r="E26">
        <v>140</v>
      </c>
      <c r="F26" t="s">
        <v>122</v>
      </c>
      <c r="G26" t="s">
        <v>126</v>
      </c>
    </row>
    <row r="27" spans="1:7" x14ac:dyDescent="0.3">
      <c r="A27" s="12">
        <v>0.625</v>
      </c>
      <c r="B27" s="12">
        <v>0.70486111111111105</v>
      </c>
      <c r="C27" s="12" t="s">
        <v>162</v>
      </c>
      <c r="D27" s="12">
        <v>7.9861111111111202E-2</v>
      </c>
      <c r="E27">
        <v>115</v>
      </c>
      <c r="F27" t="s">
        <v>122</v>
      </c>
      <c r="G27" t="s">
        <v>126</v>
      </c>
    </row>
    <row r="28" spans="1:7" x14ac:dyDescent="0.3">
      <c r="A28" s="12">
        <v>0.63194444444444398</v>
      </c>
      <c r="B28" s="12">
        <v>0.73263888888888895</v>
      </c>
      <c r="C28" s="12" t="s">
        <v>167</v>
      </c>
      <c r="D28" s="12">
        <v>0.100694444444444</v>
      </c>
      <c r="E28">
        <v>145</v>
      </c>
      <c r="F28" t="s">
        <v>122</v>
      </c>
      <c r="G28" t="s">
        <v>126</v>
      </c>
    </row>
    <row r="29" spans="1:7" x14ac:dyDescent="0.3">
      <c r="A29" s="12">
        <v>0.63888888888888895</v>
      </c>
      <c r="B29" s="12">
        <v>0.72916666666666696</v>
      </c>
      <c r="C29" s="12" t="s">
        <v>170</v>
      </c>
      <c r="D29" s="12">
        <v>9.0277777777777804E-2</v>
      </c>
      <c r="E29">
        <v>130</v>
      </c>
      <c r="F29" t="s">
        <v>122</v>
      </c>
      <c r="G29" t="s">
        <v>126</v>
      </c>
    </row>
    <row r="30" spans="1:7" x14ac:dyDescent="0.3">
      <c r="A30" s="12">
        <v>0.64583333333333304</v>
      </c>
      <c r="B30" s="12">
        <v>0.74652777777777801</v>
      </c>
      <c r="C30" s="12" t="s">
        <v>168</v>
      </c>
      <c r="D30" s="12">
        <v>0.100694444444444</v>
      </c>
      <c r="E30">
        <v>145</v>
      </c>
      <c r="F30" t="s">
        <v>122</v>
      </c>
      <c r="G30" t="s">
        <v>126</v>
      </c>
    </row>
    <row r="31" spans="1:7" x14ac:dyDescent="0.3">
      <c r="A31" s="12">
        <v>0.65277777777777801</v>
      </c>
      <c r="B31" s="12">
        <v>0.75</v>
      </c>
      <c r="C31" s="12" t="s">
        <v>169</v>
      </c>
      <c r="D31" s="12">
        <v>9.7222222222222196E-2</v>
      </c>
      <c r="E31">
        <v>140</v>
      </c>
      <c r="F31" t="s">
        <v>122</v>
      </c>
      <c r="G31" t="s">
        <v>126</v>
      </c>
    </row>
    <row r="32" spans="1:7" x14ac:dyDescent="0.3">
      <c r="A32" s="12">
        <v>0.65972222222222199</v>
      </c>
      <c r="B32" s="12">
        <v>0.75</v>
      </c>
      <c r="C32" s="12" t="s">
        <v>163</v>
      </c>
      <c r="D32" s="12">
        <v>9.0277777777777804E-2</v>
      </c>
      <c r="E32">
        <v>130</v>
      </c>
      <c r="F32" t="s">
        <v>122</v>
      </c>
      <c r="G32" t="s">
        <v>126</v>
      </c>
    </row>
    <row r="33" spans="1:7" x14ac:dyDescent="0.3">
      <c r="A33" s="12">
        <v>0.70138888888888895</v>
      </c>
      <c r="B33" s="12">
        <v>0.83333333333333304</v>
      </c>
      <c r="C33" s="12" t="s">
        <v>166</v>
      </c>
      <c r="D33" s="12">
        <v>0.131944444444445</v>
      </c>
      <c r="E33">
        <v>190</v>
      </c>
      <c r="F33" t="s">
        <v>122</v>
      </c>
      <c r="G33" t="s">
        <v>126</v>
      </c>
    </row>
    <row r="34" spans="1:7" x14ac:dyDescent="0.3">
      <c r="A34" s="12">
        <v>0.70486111111111105</v>
      </c>
      <c r="B34" s="12">
        <v>0.85416666666666696</v>
      </c>
      <c r="C34" s="12" t="s">
        <v>162</v>
      </c>
      <c r="D34" s="12">
        <v>0.149305555555555</v>
      </c>
      <c r="E34">
        <v>215</v>
      </c>
      <c r="F34" t="s">
        <v>122</v>
      </c>
      <c r="G34" t="s">
        <v>126</v>
      </c>
    </row>
    <row r="35" spans="1:7" x14ac:dyDescent="0.3">
      <c r="A35" s="12">
        <v>0.70833333333333304</v>
      </c>
      <c r="B35" s="12">
        <v>0.85069444444444398</v>
      </c>
      <c r="C35" s="12" t="s">
        <v>164</v>
      </c>
      <c r="D35" s="12">
        <v>0.14236111111111099</v>
      </c>
      <c r="E35">
        <v>205</v>
      </c>
      <c r="F35" t="s">
        <v>122</v>
      </c>
      <c r="G35" t="s">
        <v>127</v>
      </c>
    </row>
    <row r="36" spans="1:7" x14ac:dyDescent="0.3">
      <c r="A36" s="12">
        <v>0.73263888888888895</v>
      </c>
      <c r="B36" s="12">
        <v>0.86458333333333304</v>
      </c>
      <c r="C36" s="12" t="s">
        <v>167</v>
      </c>
      <c r="D36" s="12">
        <v>0.131944444444445</v>
      </c>
      <c r="E36">
        <v>190</v>
      </c>
      <c r="F36" t="s">
        <v>122</v>
      </c>
      <c r="G36" t="s">
        <v>127</v>
      </c>
    </row>
    <row r="37" spans="1:7" x14ac:dyDescent="0.3">
      <c r="A37" s="12">
        <v>0.74652777777777801</v>
      </c>
      <c r="B37" s="12">
        <v>0.84791666666666698</v>
      </c>
      <c r="C37" s="12" t="s">
        <v>168</v>
      </c>
      <c r="D37" s="12">
        <v>0.101388888888889</v>
      </c>
      <c r="E37">
        <v>146</v>
      </c>
      <c r="F37" t="s">
        <v>122</v>
      </c>
      <c r="G37" t="s">
        <v>127</v>
      </c>
    </row>
    <row r="38" spans="1:7" x14ac:dyDescent="0.3">
      <c r="A38" s="12">
        <v>0.75</v>
      </c>
      <c r="B38" s="12">
        <v>0.875</v>
      </c>
      <c r="C38" s="12" t="s">
        <v>169</v>
      </c>
      <c r="D38" s="12">
        <v>0.125</v>
      </c>
      <c r="E38">
        <v>180</v>
      </c>
      <c r="F38" t="s">
        <v>122</v>
      </c>
      <c r="G38" t="s">
        <v>127</v>
      </c>
    </row>
    <row r="39" spans="1:7" x14ac:dyDescent="0.3">
      <c r="A39" s="12">
        <v>0.875</v>
      </c>
      <c r="B39" s="12">
        <v>0.91319444444444398</v>
      </c>
      <c r="C39" s="12" t="s">
        <v>163</v>
      </c>
      <c r="D39" s="12">
        <v>3.8194444444444399E-2</v>
      </c>
      <c r="E39">
        <v>55</v>
      </c>
      <c r="F39" t="s">
        <v>122</v>
      </c>
      <c r="G39" t="s">
        <v>128</v>
      </c>
    </row>
    <row r="40" spans="1:7" x14ac:dyDescent="0.3">
      <c r="A40" s="12">
        <v>0.3125</v>
      </c>
      <c r="B40" s="12">
        <v>0.33333333333333298</v>
      </c>
      <c r="C40" s="12" t="s">
        <v>165</v>
      </c>
      <c r="D40" s="12">
        <v>2.0833333333333301E-2</v>
      </c>
      <c r="E40">
        <v>30</v>
      </c>
      <c r="F40" t="s">
        <v>123</v>
      </c>
      <c r="G40" t="s">
        <v>124</v>
      </c>
    </row>
    <row r="41" spans="1:7" x14ac:dyDescent="0.3">
      <c r="A41" s="12">
        <v>0.31597222222222199</v>
      </c>
      <c r="B41" s="12">
        <v>0.34027777777777801</v>
      </c>
      <c r="C41" s="12" t="s">
        <v>166</v>
      </c>
      <c r="D41" s="12">
        <v>2.4305555555555601E-2</v>
      </c>
      <c r="E41">
        <v>35</v>
      </c>
      <c r="F41" t="s">
        <v>123</v>
      </c>
      <c r="G41" t="s">
        <v>124</v>
      </c>
    </row>
    <row r="42" spans="1:7" x14ac:dyDescent="0.3">
      <c r="A42" s="12">
        <v>0.31944444444444398</v>
      </c>
      <c r="B42" s="12">
        <v>0.34722222222222199</v>
      </c>
      <c r="C42" s="12" t="s">
        <v>164</v>
      </c>
      <c r="D42" s="12">
        <v>2.7777777777777801E-2</v>
      </c>
      <c r="E42">
        <v>40</v>
      </c>
      <c r="F42" t="s">
        <v>123</v>
      </c>
      <c r="G42" t="s">
        <v>124</v>
      </c>
    </row>
    <row r="43" spans="1:7" x14ac:dyDescent="0.3">
      <c r="A43" s="12">
        <v>0.32638888888888901</v>
      </c>
      <c r="B43" s="12">
        <v>0.36111111111111099</v>
      </c>
      <c r="C43" s="12" t="s">
        <v>163</v>
      </c>
      <c r="D43" s="12">
        <v>3.4722222222222203E-2</v>
      </c>
      <c r="E43">
        <v>50</v>
      </c>
      <c r="F43" t="s">
        <v>123</v>
      </c>
      <c r="G43" t="s">
        <v>124</v>
      </c>
    </row>
    <row r="44" spans="1:7" x14ac:dyDescent="0.3">
      <c r="A44" s="12">
        <v>0.33333333333333298</v>
      </c>
      <c r="B44" s="12">
        <v>0.36458333333333298</v>
      </c>
      <c r="C44" s="12" t="s">
        <v>167</v>
      </c>
      <c r="D44" s="12">
        <v>3.125E-2</v>
      </c>
      <c r="E44">
        <v>45</v>
      </c>
      <c r="F44" t="s">
        <v>123</v>
      </c>
      <c r="G44" t="s">
        <v>124</v>
      </c>
    </row>
    <row r="45" spans="1:7" x14ac:dyDescent="0.3">
      <c r="A45" s="12">
        <v>0.34027777777777801</v>
      </c>
      <c r="B45" s="12">
        <v>0.36805555555555602</v>
      </c>
      <c r="C45" s="12" t="s">
        <v>165</v>
      </c>
      <c r="D45" s="12">
        <v>2.7777777777777801E-2</v>
      </c>
      <c r="E45">
        <v>40</v>
      </c>
      <c r="F45" t="s">
        <v>123</v>
      </c>
      <c r="G45" t="s">
        <v>124</v>
      </c>
    </row>
    <row r="46" spans="1:7" x14ac:dyDescent="0.3">
      <c r="A46" s="12">
        <v>0.34722222222222199</v>
      </c>
      <c r="B46" s="12">
        <v>0.38194444444444398</v>
      </c>
      <c r="C46" s="12" t="s">
        <v>166</v>
      </c>
      <c r="D46" s="12">
        <v>3.4722222222222203E-2</v>
      </c>
      <c r="E46">
        <v>50</v>
      </c>
      <c r="F46" t="s">
        <v>123</v>
      </c>
      <c r="G46" t="s">
        <v>124</v>
      </c>
    </row>
    <row r="47" spans="1:7" x14ac:dyDescent="0.3">
      <c r="A47" s="12">
        <v>0.35416666666666702</v>
      </c>
      <c r="B47" s="12">
        <v>0.38194444444444398</v>
      </c>
      <c r="C47" s="12" t="s">
        <v>164</v>
      </c>
      <c r="D47" s="12">
        <v>2.77777777777777E-2</v>
      </c>
      <c r="E47">
        <v>40</v>
      </c>
      <c r="F47" t="s">
        <v>123</v>
      </c>
      <c r="G47" t="s">
        <v>124</v>
      </c>
    </row>
    <row r="48" spans="1:7" x14ac:dyDescent="0.3">
      <c r="A48" s="12">
        <v>0.374305555555556</v>
      </c>
      <c r="B48" s="12">
        <v>0.38541666666666702</v>
      </c>
      <c r="C48" s="12" t="s">
        <v>163</v>
      </c>
      <c r="D48" s="12">
        <v>1.1111111111111099E-2</v>
      </c>
      <c r="E48">
        <v>16</v>
      </c>
      <c r="F48" t="s">
        <v>123</v>
      </c>
      <c r="G48" t="s">
        <v>124</v>
      </c>
    </row>
    <row r="49" spans="1:7" x14ac:dyDescent="0.3">
      <c r="A49" s="12">
        <v>0.38194444444444398</v>
      </c>
      <c r="B49" s="12">
        <v>0.38888888888888901</v>
      </c>
      <c r="C49" s="12" t="s">
        <v>167</v>
      </c>
      <c r="D49" s="12">
        <v>6.9444444444444796E-3</v>
      </c>
      <c r="E49">
        <v>10</v>
      </c>
      <c r="F49" t="s">
        <v>123</v>
      </c>
      <c r="G49" t="s">
        <v>124</v>
      </c>
    </row>
    <row r="50" spans="1:7" x14ac:dyDescent="0.3">
      <c r="A50" s="12">
        <v>0.38888888888888901</v>
      </c>
      <c r="B50" s="12">
        <v>0.42708333333333298</v>
      </c>
      <c r="C50" s="12" t="s">
        <v>169</v>
      </c>
      <c r="D50" s="12">
        <v>3.8194444444444399E-2</v>
      </c>
      <c r="E50">
        <v>55</v>
      </c>
      <c r="F50" t="s">
        <v>123</v>
      </c>
      <c r="G50" t="s">
        <v>124</v>
      </c>
    </row>
    <row r="51" spans="1:7" x14ac:dyDescent="0.3">
      <c r="A51" s="12">
        <v>0.39583333333333298</v>
      </c>
      <c r="B51" s="12">
        <v>0.43055555555555602</v>
      </c>
      <c r="C51" s="12" t="s">
        <v>165</v>
      </c>
      <c r="D51" s="12">
        <v>3.47222222222223E-2</v>
      </c>
      <c r="E51">
        <v>50</v>
      </c>
      <c r="F51" t="s">
        <v>123</v>
      </c>
      <c r="G51" t="s">
        <v>124</v>
      </c>
    </row>
    <row r="52" spans="1:7" x14ac:dyDescent="0.3">
      <c r="A52" s="12">
        <v>0.40277777777777801</v>
      </c>
      <c r="B52" s="12">
        <v>0.4375</v>
      </c>
      <c r="C52" s="12" t="s">
        <v>166</v>
      </c>
      <c r="D52" s="12">
        <v>3.4722222222222203E-2</v>
      </c>
      <c r="E52">
        <v>50</v>
      </c>
      <c r="F52" t="s">
        <v>123</v>
      </c>
      <c r="G52" t="s">
        <v>124</v>
      </c>
    </row>
    <row r="53" spans="1:7" x14ac:dyDescent="0.3">
      <c r="A53" s="12">
        <v>0.40972222222222199</v>
      </c>
      <c r="B53" s="12">
        <v>0.44444444444444398</v>
      </c>
      <c r="C53" s="12" t="s">
        <v>164</v>
      </c>
      <c r="D53" s="12">
        <v>3.4722222222222203E-2</v>
      </c>
      <c r="E53">
        <v>50</v>
      </c>
      <c r="F53" t="s">
        <v>123</v>
      </c>
      <c r="G53" t="s">
        <v>124</v>
      </c>
    </row>
    <row r="54" spans="1:7" x14ac:dyDescent="0.3">
      <c r="A54" s="12">
        <v>0.41666666666666702</v>
      </c>
      <c r="B54" s="12">
        <v>0.45833333333333298</v>
      </c>
      <c r="C54" s="12" t="s">
        <v>163</v>
      </c>
      <c r="D54" s="12">
        <v>4.1666666666666602E-2</v>
      </c>
      <c r="E54">
        <v>60</v>
      </c>
      <c r="F54" t="s">
        <v>123</v>
      </c>
      <c r="G54" t="s">
        <v>124</v>
      </c>
    </row>
    <row r="55" spans="1:7" x14ac:dyDescent="0.3">
      <c r="A55" s="12">
        <v>0.42361111111111099</v>
      </c>
      <c r="B55" s="12">
        <v>0.46527777777777801</v>
      </c>
      <c r="C55" s="12" t="s">
        <v>167</v>
      </c>
      <c r="D55" s="12">
        <v>4.1666666666666699E-2</v>
      </c>
      <c r="E55">
        <v>60</v>
      </c>
      <c r="F55" t="s">
        <v>123</v>
      </c>
      <c r="G55" t="s">
        <v>124</v>
      </c>
    </row>
    <row r="68" spans="13:13" x14ac:dyDescent="0.3">
      <c r="M68" s="13"/>
    </row>
    <row r="69" spans="13:13" x14ac:dyDescent="0.3">
      <c r="M69" s="13"/>
    </row>
    <row r="70" spans="13:13" x14ac:dyDescent="0.3">
      <c r="M70" s="13"/>
    </row>
    <row r="71" spans="13:13" x14ac:dyDescent="0.3">
      <c r="M71" s="13"/>
    </row>
    <row r="72" spans="13:13" x14ac:dyDescent="0.3">
      <c r="M72" s="13"/>
    </row>
    <row r="73" spans="13:13" x14ac:dyDescent="0.3">
      <c r="M73" s="13"/>
    </row>
    <row r="74" spans="13:13" x14ac:dyDescent="0.3">
      <c r="M74" s="13"/>
    </row>
    <row r="75" spans="13:13" x14ac:dyDescent="0.3">
      <c r="M75" s="13"/>
    </row>
    <row r="76" spans="13:13" x14ac:dyDescent="0.3">
      <c r="M76" s="13"/>
    </row>
  </sheetData>
  <phoneticPr fontId="2" type="noConversion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Prediction</vt:lpstr>
      <vt:lpstr>Data</vt:lpstr>
      <vt:lpstr>Customer Classification</vt:lpstr>
      <vt:lpstr>Sheet1</vt:lpstr>
      <vt:lpstr>Transit Mixers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praneetha 50</dc:creator>
  <cp:lastModifiedBy>praneetha 50</cp:lastModifiedBy>
  <dcterms:created xsi:type="dcterms:W3CDTF">2026-05-25T14:42:16Z</dcterms:created>
  <dcterms:modified xsi:type="dcterms:W3CDTF">2026-05-28T16:35:52Z</dcterms:modified>
</cp:coreProperties>
</file>