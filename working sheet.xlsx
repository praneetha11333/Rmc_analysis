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e8879688a1edc3/Desktop/Projects/"/>
    </mc:Choice>
  </mc:AlternateContent>
  <xr:revisionPtr revIDLastSave="839" documentId="8_{7EBE427D-6F75-41CE-A907-3388F941367A}" xr6:coauthVersionLast="47" xr6:coauthVersionMax="47" xr10:uidLastSave="{6F246A6D-0815-4B76-81AA-EE1F939F1BBD}"/>
  <bookViews>
    <workbookView xWindow="-108" yWindow="-108" windowWidth="23256" windowHeight="13176" tabRatio="911" activeTab="5" xr2:uid="{E79CF511-06B5-43B1-81A0-F3358C7CCD0B}"/>
  </bookViews>
  <sheets>
    <sheet name="Daily Sales" sheetId="1" r:id="rId1"/>
    <sheet name="Grade Formula" sheetId="4" r:id="rId2"/>
    <sheet name="transit mixers" sheetId="3" r:id="rId3"/>
    <sheet name="Descriptive Sats" sheetId="19" r:id="rId4"/>
    <sheet name="Customer segmentation" sheetId="18" r:id="rId5"/>
    <sheet name="Result and Findings" sheetId="17" r:id="rId6"/>
  </sheets>
  <calcPr calcId="191029"/>
  <pivotCaches>
    <pivotCache cacheId="10" r:id="rId7"/>
    <pivotCache cacheId="5" r:id="rId8"/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3" l="1"/>
  <c r="AC9" i="19"/>
  <c r="AA9" i="19"/>
  <c r="Z9" i="19"/>
  <c r="Y9" i="19"/>
  <c r="X9" i="19"/>
  <c r="AB9" i="19" s="1"/>
  <c r="W9" i="19"/>
  <c r="V9" i="19"/>
  <c r="U9" i="19"/>
  <c r="T9" i="19"/>
  <c r="L17" i="19"/>
  <c r="M17" i="19"/>
  <c r="N17" i="19"/>
  <c r="O17" i="19"/>
  <c r="P17" i="19"/>
  <c r="L15" i="19"/>
  <c r="M15" i="19"/>
  <c r="N15" i="19"/>
  <c r="O15" i="19"/>
  <c r="P15" i="19"/>
  <c r="L14" i="19"/>
  <c r="M14" i="19"/>
  <c r="N14" i="19"/>
  <c r="O14" i="19"/>
  <c r="P14" i="19"/>
  <c r="L13" i="19"/>
  <c r="M13" i="19"/>
  <c r="N13" i="19"/>
  <c r="O13" i="19"/>
  <c r="P13" i="19"/>
  <c r="L12" i="19"/>
  <c r="M12" i="19"/>
  <c r="N12" i="19"/>
  <c r="O12" i="19"/>
  <c r="P12" i="19"/>
  <c r="L11" i="19"/>
  <c r="M11" i="19"/>
  <c r="N11" i="19"/>
  <c r="O11" i="19"/>
  <c r="P11" i="19"/>
  <c r="L10" i="19"/>
  <c r="M10" i="19"/>
  <c r="N10" i="19"/>
  <c r="O10" i="19"/>
  <c r="P10" i="19"/>
  <c r="L9" i="19"/>
  <c r="M9" i="19"/>
  <c r="N9" i="19"/>
  <c r="O9" i="19"/>
  <c r="P9" i="19"/>
  <c r="L8" i="19"/>
  <c r="M8" i="19"/>
  <c r="N8" i="19"/>
  <c r="O8" i="19"/>
  <c r="P8" i="19"/>
  <c r="K17" i="19"/>
  <c r="K15" i="19"/>
  <c r="K14" i="19"/>
  <c r="K13" i="19"/>
  <c r="K12" i="19"/>
  <c r="K11" i="19"/>
  <c r="K10" i="19"/>
  <c r="K9" i="19"/>
  <c r="K8" i="19"/>
  <c r="D331" i="1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2" i="18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5" i="17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2" i="1"/>
  <c r="H3" i="3"/>
  <c r="H4" i="3"/>
  <c r="H5" i="3"/>
  <c r="H6" i="3"/>
  <c r="H7" i="3"/>
  <c r="H8" i="3"/>
  <c r="H10" i="3"/>
  <c r="H11" i="3"/>
  <c r="H12" i="3"/>
  <c r="H13" i="3"/>
  <c r="H14" i="3"/>
  <c r="H15" i="3"/>
  <c r="H16" i="3"/>
  <c r="H17" i="3"/>
  <c r="H2" i="3" s="1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E47" i="3"/>
  <c r="E48" i="3"/>
  <c r="E49" i="3"/>
  <c r="E50" i="3"/>
  <c r="E51" i="3"/>
  <c r="E52" i="3"/>
  <c r="E53" i="3"/>
  <c r="E54" i="3"/>
  <c r="E55" i="3"/>
  <c r="E46" i="3"/>
  <c r="E45" i="3"/>
  <c r="E44" i="3"/>
  <c r="E43" i="3"/>
  <c r="E42" i="3"/>
  <c r="E41" i="3"/>
  <c r="E40" i="3"/>
  <c r="E32" i="3"/>
  <c r="E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2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J33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J2" i="1"/>
  <c r="I2" i="1"/>
  <c r="H2" i="1"/>
  <c r="G2" i="1"/>
  <c r="K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3" i="3"/>
  <c r="E34" i="3"/>
  <c r="E35" i="3"/>
  <c r="E36" i="3"/>
  <c r="E37" i="3"/>
  <c r="E38" i="3"/>
  <c r="E39" i="3"/>
  <c r="E331" i="1" l="1"/>
  <c r="P16" i="19"/>
  <c r="O16" i="19"/>
  <c r="M16" i="19"/>
  <c r="N16" i="19"/>
  <c r="K16" i="19"/>
  <c r="L16" i="19"/>
</calcChain>
</file>

<file path=xl/sharedStrings.xml><?xml version="1.0" encoding="utf-8"?>
<sst xmlns="http://schemas.openxmlformats.org/spreadsheetml/2006/main" count="980" uniqueCount="172">
  <si>
    <t>Date</t>
  </si>
  <si>
    <t>Grade</t>
  </si>
  <si>
    <r>
      <t>quantity in m</t>
    </r>
    <r>
      <rPr>
        <vertAlign val="superscript"/>
        <sz val="11"/>
        <color theme="1"/>
        <rFont val="Calibri"/>
        <family val="2"/>
        <scheme val="minor"/>
      </rPr>
      <t>3</t>
    </r>
  </si>
  <si>
    <t>M25</t>
  </si>
  <si>
    <t>M30</t>
  </si>
  <si>
    <t>M20</t>
  </si>
  <si>
    <t>M15</t>
  </si>
  <si>
    <t>M10</t>
  </si>
  <si>
    <t>no of transit mixers</t>
  </si>
  <si>
    <t>M35</t>
  </si>
  <si>
    <t>Vehicle no</t>
  </si>
  <si>
    <t xml:space="preserve">exit </t>
  </si>
  <si>
    <t>re entry</t>
  </si>
  <si>
    <t>turn around time</t>
  </si>
  <si>
    <t>Mix Designation</t>
  </si>
  <si>
    <t>Cement (kg/m³)</t>
  </si>
  <si>
    <t>20mm Coarse Agg. (kg/m³)</t>
  </si>
  <si>
    <t>12.5mm Coarse Agg. (kg/m³)</t>
  </si>
  <si>
    <t>cement</t>
  </si>
  <si>
    <t>sand</t>
  </si>
  <si>
    <t>12mm</t>
  </si>
  <si>
    <t>20mm</t>
  </si>
  <si>
    <t>flyash</t>
  </si>
  <si>
    <t>Flyash(kg/m³)</t>
  </si>
  <si>
    <t>Sand (kg/m³)</t>
  </si>
  <si>
    <t>Row Labels</t>
  </si>
  <si>
    <t>Grand Total</t>
  </si>
  <si>
    <t>Sum of cement</t>
  </si>
  <si>
    <t>Sum of sand</t>
  </si>
  <si>
    <t>Sum of 12mm</t>
  </si>
  <si>
    <t>Sum of 20mm</t>
  </si>
  <si>
    <t>Sum of flyash</t>
  </si>
  <si>
    <t>Mean</t>
  </si>
  <si>
    <t>Mode</t>
  </si>
  <si>
    <t>Median</t>
  </si>
  <si>
    <t>Range</t>
  </si>
  <si>
    <t>STATS</t>
  </si>
  <si>
    <t>Sum of no of transit mixers</t>
  </si>
  <si>
    <t>week no</t>
  </si>
  <si>
    <t>minutes</t>
  </si>
  <si>
    <t>Average of minutes</t>
  </si>
  <si>
    <t>site</t>
  </si>
  <si>
    <t>Site A</t>
  </si>
  <si>
    <t>Site B</t>
  </si>
  <si>
    <t>Afternoon</t>
  </si>
  <si>
    <t>Early Morning</t>
  </si>
  <si>
    <t>Evening</t>
  </si>
  <si>
    <t>Morning</t>
  </si>
  <si>
    <t>Night</t>
  </si>
  <si>
    <t>total</t>
  </si>
  <si>
    <t>Sum of total</t>
  </si>
  <si>
    <t>total concrete ordered</t>
  </si>
  <si>
    <t>type</t>
  </si>
  <si>
    <t>High</t>
  </si>
  <si>
    <t>Low</t>
  </si>
  <si>
    <t>Medium</t>
  </si>
  <si>
    <t>Sum of total concrete ordered</t>
  </si>
  <si>
    <t>concrete</t>
  </si>
  <si>
    <t>Count of client</t>
  </si>
  <si>
    <t>count</t>
  </si>
  <si>
    <t>Cement</t>
  </si>
  <si>
    <t>Sand</t>
  </si>
  <si>
    <t>20mm Aggregates</t>
  </si>
  <si>
    <t>12.5mm Aggregates</t>
  </si>
  <si>
    <t>Flyash</t>
  </si>
  <si>
    <t>Concrete Produced</t>
  </si>
  <si>
    <t>Count</t>
  </si>
  <si>
    <t>Std</t>
  </si>
  <si>
    <t>Min</t>
  </si>
  <si>
    <t>Max</t>
  </si>
  <si>
    <t>Sum</t>
  </si>
  <si>
    <t>Var</t>
  </si>
  <si>
    <t>TAT</t>
  </si>
  <si>
    <t>TAT(minutes)</t>
  </si>
  <si>
    <t>No of transit mixers Ordered</t>
  </si>
  <si>
    <t>week No</t>
  </si>
  <si>
    <t>concrete producerd</t>
  </si>
  <si>
    <t>3 week moving Avergae</t>
  </si>
  <si>
    <t>Daytime</t>
  </si>
  <si>
    <t>cost per cubic meter</t>
  </si>
  <si>
    <t>Client</t>
  </si>
  <si>
    <t>Client1</t>
  </si>
  <si>
    <t>Client2</t>
  </si>
  <si>
    <t>Client3</t>
  </si>
  <si>
    <t>Client4</t>
  </si>
  <si>
    <t>Client5</t>
  </si>
  <si>
    <t>Client6</t>
  </si>
  <si>
    <t>Client7</t>
  </si>
  <si>
    <t>Client8</t>
  </si>
  <si>
    <t>Client9</t>
  </si>
  <si>
    <t>Client10</t>
  </si>
  <si>
    <t>Client11</t>
  </si>
  <si>
    <t>Client12</t>
  </si>
  <si>
    <t>Client13</t>
  </si>
  <si>
    <t>Client14</t>
  </si>
  <si>
    <t>Client15</t>
  </si>
  <si>
    <t>Client16</t>
  </si>
  <si>
    <t>Client17</t>
  </si>
  <si>
    <t>Client18</t>
  </si>
  <si>
    <t>Client19</t>
  </si>
  <si>
    <t>Client20</t>
  </si>
  <si>
    <t>Client21</t>
  </si>
  <si>
    <t>Client22</t>
  </si>
  <si>
    <t>Client23</t>
  </si>
  <si>
    <t>Client24</t>
  </si>
  <si>
    <t>Client25</t>
  </si>
  <si>
    <t>Client26</t>
  </si>
  <si>
    <t>Client27</t>
  </si>
  <si>
    <t>Client28</t>
  </si>
  <si>
    <t>Client29</t>
  </si>
  <si>
    <t>Client30</t>
  </si>
  <si>
    <t>Client31</t>
  </si>
  <si>
    <t>Client32</t>
  </si>
  <si>
    <t>Client33</t>
  </si>
  <si>
    <t>Client34</t>
  </si>
  <si>
    <t>Client35</t>
  </si>
  <si>
    <t>Client36</t>
  </si>
  <si>
    <t>Client37</t>
  </si>
  <si>
    <t>Client38</t>
  </si>
  <si>
    <t>Client39</t>
  </si>
  <si>
    <t>Client40</t>
  </si>
  <si>
    <t>Client41</t>
  </si>
  <si>
    <t>Client42</t>
  </si>
  <si>
    <t>Client43</t>
  </si>
  <si>
    <t>Client44</t>
  </si>
  <si>
    <t>Client45</t>
  </si>
  <si>
    <t>Client46</t>
  </si>
  <si>
    <t>Client47</t>
  </si>
  <si>
    <t>Client48</t>
  </si>
  <si>
    <t>Client49</t>
  </si>
  <si>
    <t>Client50</t>
  </si>
  <si>
    <t>Client51</t>
  </si>
  <si>
    <t>Client52</t>
  </si>
  <si>
    <t>Client53</t>
  </si>
  <si>
    <t>Client54</t>
  </si>
  <si>
    <t>Client55</t>
  </si>
  <si>
    <t>Client56</t>
  </si>
  <si>
    <t>Client57</t>
  </si>
  <si>
    <t>Client58</t>
  </si>
  <si>
    <t>Client59</t>
  </si>
  <si>
    <t>Client60</t>
  </si>
  <si>
    <t>Client61</t>
  </si>
  <si>
    <t>Client62</t>
  </si>
  <si>
    <t>Client63</t>
  </si>
  <si>
    <t>Client64</t>
  </si>
  <si>
    <t>Client65</t>
  </si>
  <si>
    <t>Client66</t>
  </si>
  <si>
    <t>Client67</t>
  </si>
  <si>
    <t>Client68</t>
  </si>
  <si>
    <t>Client69</t>
  </si>
  <si>
    <t>Client70</t>
  </si>
  <si>
    <t>Client71</t>
  </si>
  <si>
    <t>Client72</t>
  </si>
  <si>
    <t>Client73</t>
  </si>
  <si>
    <t>Client74</t>
  </si>
  <si>
    <t>Client75</t>
  </si>
  <si>
    <t>Client76</t>
  </si>
  <si>
    <t>Client77</t>
  </si>
  <si>
    <t>Client78</t>
  </si>
  <si>
    <t>Client79</t>
  </si>
  <si>
    <t>Client80</t>
  </si>
  <si>
    <t>Client81</t>
  </si>
  <si>
    <t>Driver8</t>
  </si>
  <si>
    <t>Driver5</t>
  </si>
  <si>
    <t>Driver7</t>
  </si>
  <si>
    <t>Driver3</t>
  </si>
  <si>
    <t>Driver6</t>
  </si>
  <si>
    <t>Driver2</t>
  </si>
  <si>
    <t>Driver1</t>
  </si>
  <si>
    <t>Driver9</t>
  </si>
  <si>
    <t>Driver4</t>
  </si>
  <si>
    <t>Drive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</si>
</sst>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4009]hh:mm;@"/>
  </numFmts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0" fontId="0" fillId="0" borderId="0" xfId="0" applyNumberFormat="1"/>
    <xf numFmtId="0" fontId="0" fillId="2" borderId="0" xfId="0" applyFill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20" fontId="0" fillId="0" borderId="1" xfId="0" applyNumberForma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Sats'!$M$28</c:f>
              <c:strCache>
                <c:ptCount val="1"/>
                <c:pt idx="0">
                  <c:v>No of transit mixers Ordered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Sats'!$L$29:$L$34</c:f>
              <c:strCache>
                <c:ptCount val="6"/>
                <c:pt idx="0">
                  <c:v>M10</c:v>
                </c:pt>
                <c:pt idx="1">
                  <c:v>M15</c:v>
                </c:pt>
                <c:pt idx="2">
                  <c:v>M20</c:v>
                </c:pt>
                <c:pt idx="3">
                  <c:v>M25</c:v>
                </c:pt>
                <c:pt idx="4">
                  <c:v>M30</c:v>
                </c:pt>
                <c:pt idx="5">
                  <c:v>M35</c:v>
                </c:pt>
              </c:strCache>
            </c:strRef>
          </c:cat>
          <c:val>
            <c:numRef>
              <c:f>'Descriptive Sats'!$M$29:$M$34</c:f>
              <c:numCache>
                <c:formatCode>General</c:formatCode>
                <c:ptCount val="6"/>
                <c:pt idx="0">
                  <c:v>52</c:v>
                </c:pt>
                <c:pt idx="1">
                  <c:v>66</c:v>
                </c:pt>
                <c:pt idx="2">
                  <c:v>178</c:v>
                </c:pt>
                <c:pt idx="3">
                  <c:v>241</c:v>
                </c:pt>
                <c:pt idx="4">
                  <c:v>305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D-4B4B-9DBB-B554D39FC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664831"/>
        <c:axId val="1905674431"/>
      </c:barChart>
      <c:catAx>
        <c:axId val="1905664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674431"/>
        <c:crosses val="autoZero"/>
        <c:auto val="1"/>
        <c:lblAlgn val="ctr"/>
        <c:lblOffset val="100"/>
        <c:noMultiLvlLbl val="0"/>
      </c:catAx>
      <c:valAx>
        <c:axId val="19056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</a:t>
                </a:r>
                <a:r>
                  <a:rPr lang="en-IN" baseline="0"/>
                  <a:t>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66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</a:t>
            </a:r>
            <a:r>
              <a:rPr lang="en-US" baseline="0"/>
              <a:t> of total concrete by segmnet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segmentation'!$G$14</c:f>
              <c:strCache>
                <c:ptCount val="1"/>
                <c:pt idx="0">
                  <c:v>concrete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6F-4EC9-B9D4-199E05CBC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F-4EC9-B9D4-199E05CBC5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F-4EC9-B9D4-199E05CBC5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segmentation'!$F$15:$F$17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'Customer segmentation'!$G$15:$G$17</c:f>
              <c:numCache>
                <c:formatCode>General</c:formatCode>
                <c:ptCount val="3"/>
                <c:pt idx="0">
                  <c:v>2248.25</c:v>
                </c:pt>
                <c:pt idx="1">
                  <c:v>1841</c:v>
                </c:pt>
                <c:pt idx="2">
                  <c:v>1174.75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F-4265-9F4C-CCEF85E42B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 Count by segemnt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segmentation'!$J$11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FD-4F6F-90C0-4C4D61FF3E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FD-4F6F-90C0-4C4D61FF3E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FD-4F6F-90C0-4C4D61FF3E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segmentation'!$I$12:$I$14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'Customer segmentation'!$J$12:$J$14</c:f>
              <c:numCache>
                <c:formatCode>General</c:formatCode>
                <c:ptCount val="3"/>
                <c:pt idx="0">
                  <c:v>6</c:v>
                </c:pt>
                <c:pt idx="1">
                  <c:v>66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9B3-86DC-20FC469917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Concrete</a:t>
            </a:r>
            <a:r>
              <a:rPr lang="en-IN" baseline="0"/>
              <a:t> production Over weeks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'Result and Findings'!$D$3:$D$20</c:f>
              <c:numCache>
                <c:formatCode>General</c:formatCode>
                <c:ptCount val="1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</c:numCache>
            </c:numRef>
          </c:cat>
          <c:val>
            <c:numRef>
              <c:f>'Result and Findings'!$F$3:$F$20</c:f>
              <c:numCache>
                <c:formatCode>General</c:formatCode>
                <c:ptCount val="18"/>
                <c:pt idx="0">
                  <c:v>6</c:v>
                </c:pt>
                <c:pt idx="1">
                  <c:v>234</c:v>
                </c:pt>
                <c:pt idx="2">
                  <c:v>231.33333333333334</c:v>
                </c:pt>
                <c:pt idx="3">
                  <c:v>324.33333333333331</c:v>
                </c:pt>
                <c:pt idx="4">
                  <c:v>335.5</c:v>
                </c:pt>
                <c:pt idx="5">
                  <c:v>269.66666666666669</c:v>
                </c:pt>
                <c:pt idx="6">
                  <c:v>215.5</c:v>
                </c:pt>
                <c:pt idx="7">
                  <c:v>192.33333333333334</c:v>
                </c:pt>
                <c:pt idx="8">
                  <c:v>316.5</c:v>
                </c:pt>
                <c:pt idx="9">
                  <c:v>315.33333333333331</c:v>
                </c:pt>
                <c:pt idx="10">
                  <c:v>431</c:v>
                </c:pt>
                <c:pt idx="11">
                  <c:v>317.5</c:v>
                </c:pt>
                <c:pt idx="12">
                  <c:v>356.08333333333331</c:v>
                </c:pt>
                <c:pt idx="13">
                  <c:v>251.75</c:v>
                </c:pt>
                <c:pt idx="14">
                  <c:v>234.41666666666666</c:v>
                </c:pt>
                <c:pt idx="15">
                  <c:v>346.83333333333331</c:v>
                </c:pt>
                <c:pt idx="16">
                  <c:v>399.08333333333331</c:v>
                </c:pt>
                <c:pt idx="17">
                  <c:v>385.25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B-4135-B326-96911F510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23839"/>
        <c:axId val="1737929855"/>
      </c:lineChart>
      <c:catAx>
        <c:axId val="82423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  <a:r>
                  <a:rPr lang="en-IN" baseline="0"/>
                  <a:t> no of year 2025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929855"/>
        <c:crosses val="autoZero"/>
        <c:auto val="1"/>
        <c:lblAlgn val="ctr"/>
        <c:lblOffset val="100"/>
        <c:noMultiLvlLbl val="0"/>
      </c:catAx>
      <c:valAx>
        <c:axId val="17379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Concrete</a:t>
                </a:r>
                <a:r>
                  <a:rPr lang="en-IN" baseline="0"/>
                  <a:t> Production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'Result and Findings'!$E$25</c:f>
              <c:strCache>
                <c:ptCount val="1"/>
                <c:pt idx="0">
                  <c:v>TAT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and Findings'!$D$26:$D$29</c:f>
              <c:strCache>
                <c:ptCount val="4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</c:strCache>
            </c:strRef>
          </c:cat>
          <c:val>
            <c:numRef>
              <c:f>'Result and Findings'!$E$26:$E$29</c:f>
              <c:numCache>
                <c:formatCode>General</c:formatCode>
                <c:ptCount val="4"/>
                <c:pt idx="0">
                  <c:v>160</c:v>
                </c:pt>
                <c:pt idx="1">
                  <c:v>145.42857142857142</c:v>
                </c:pt>
                <c:pt idx="2">
                  <c:v>180.25</c:v>
                </c:pt>
                <c:pt idx="3">
                  <c:v>188.75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C-461B-A99C-5608D372B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519807"/>
        <c:axId val="1961514047"/>
      </c:lineChart>
      <c:catAx>
        <c:axId val="19615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14047"/>
        <c:crosses val="autoZero"/>
        <c:auto val="1"/>
        <c:lblAlgn val="ctr"/>
        <c:lblOffset val="100"/>
        <c:noMultiLvlLbl val="0"/>
      </c:catAx>
      <c:valAx>
        <c:axId val="196151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351692</xdr:colOff>
      <xdr:row>36</xdr:row>
      <xdr:rowOff>69361</xdr:rowOff>
    </xdr:from>
    <xdr:to>
      <xdr:col>14</xdr:col>
      <xdr:colOff>459153</xdr:colOff>
      <xdr:row>56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B0C64-8F5C-5F69-8AAD-058A0A648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28</xdr:row>
      <xdr:rowOff>68580</xdr:rowOff>
    </xdr:from>
    <xdr:to>
      <xdr:col>8</xdr:col>
      <xdr:colOff>243840</xdr:colOff>
      <xdr:row>43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7A8E7-B973-9439-79B8-F99698A41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28</xdr:row>
      <xdr:rowOff>60960</xdr:rowOff>
    </xdr:from>
    <xdr:to>
      <xdr:col>14</xdr:col>
      <xdr:colOff>83820</xdr:colOff>
      <xdr:row>43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15B9C8-176C-D3FA-436F-E4F340083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9</xdr:row>
      <xdr:rowOff>15240</xdr:rowOff>
    </xdr:from>
    <xdr:to>
      <xdr:col>18</xdr:col>
      <xdr:colOff>114300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8B852C-8733-2DF4-C434-30684FC26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411480</xdr:colOff>
      <xdr:row>27</xdr:row>
      <xdr:rowOff>160020</xdr:rowOff>
    </xdr:from>
    <xdr:to>
      <xdr:col>12</xdr:col>
      <xdr:colOff>68580</xdr:colOff>
      <xdr:row>42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D8049C-D04E-3C6C-7408-06F57C4E5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 reddy" refreshedDate="45841.816980208336" createdVersion="8" refreshedVersion="8" minRefreshableVersion="3" recordCount="329" xr:uid="{4A8E8D1E-F246-436B-9846-52A06C9805E8}">
  <cacheSource type="worksheet">
    <worksheetSource ref="A1:L330" sheet="Daily Sales"/>
  </cacheSource>
  <cacheFields count="14">
    <cacheField name="Date" numFmtId="14">
      <sharedItems containsSemiMixedTypes="0" containsNonDate="0" containsDate="1" containsString="0" minDate="2025-02-01T00:00:00" maxDate="2025-05-30T00:00:00" count="97">
        <d v="2025-02-01T00:00:00"/>
        <d v="2025-02-02T00:00:00"/>
        <d v="2025-02-04T00:00:00"/>
        <d v="2025-02-05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6T00:00:00"/>
        <d v="2025-03-17T00:00:00"/>
        <d v="2025-03-18T00:00:00"/>
        <d v="2025-03-19T00:00:00"/>
        <d v="2025-03-20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4-01T00:00:00"/>
        <d v="2025-04-02T00:00:00"/>
        <d v="2025-04-05T00:00:00"/>
        <d v="2025-04-06T00:00:00"/>
        <d v="2025-04-07T00:00:00"/>
        <d v="2025-04-08T00:00:00"/>
        <d v="2025-04-10T00:00:00"/>
        <d v="2025-04-11T00:00:00"/>
        <d v="2025-04-12T00:00:00"/>
        <d v="2025-04-13T00:00:00"/>
        <d v="2025-04-14T00:00:00"/>
        <d v="2025-04-17T00:00:00"/>
        <d v="2025-04-18T00:00:00"/>
        <d v="2025-04-19T00:00:00"/>
        <d v="2025-04-20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3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</sharedItems>
      <fieldGroup par="13"/>
    </cacheField>
    <cacheField name="Grade" numFmtId="0">
      <sharedItems count="6">
        <s v="M25"/>
        <s v="M30"/>
        <s v="M20"/>
        <s v="M15"/>
        <s v="M10"/>
        <s v="M35"/>
      </sharedItems>
    </cacheField>
    <cacheField name="quantity in m3" numFmtId="0">
      <sharedItems containsSemiMixedTypes="0" containsString="0" containsNumber="1" minValue="1" maxValue="8.5"/>
    </cacheField>
    <cacheField name="no of transit mixers" numFmtId="0">
      <sharedItems containsSemiMixedTypes="0" containsString="0" containsNumber="1" containsInteger="1" minValue="1" maxValue="40"/>
    </cacheField>
    <cacheField name="total" numFmtId="0">
      <sharedItems containsSemiMixedTypes="0" containsString="0" containsNumber="1" minValue="1" maxValue="240"/>
    </cacheField>
    <cacheField name="Client Name" numFmtId="0">
      <sharedItems count="88">
        <s v="vikas"/>
        <s v="Emany Constructions"/>
        <s v="G M sir"/>
        <s v="Manish Reddy"/>
        <s v="yadhagiri"/>
        <s v="Sidhula"/>
        <s v="S.S.V Construction"/>
        <s v="Navraj singh"/>
        <s v="Bepi Ecil"/>
        <s v="vinodh"/>
        <s v="Bahadhur sing"/>
        <s v="sri panchami De"/>
        <s v="Mahesh"/>
        <s v="Akshith"/>
        <s v="optus entrerprises"/>
        <s v="B somaiah"/>
        <s v="B santhosh"/>
        <s v="Harika drugs"/>
        <s v="Arjun"/>
        <s v="Ramesh"/>
        <s v="Rahul"/>
        <s v="validus Infra"/>
        <s v="Engineer associates"/>
        <s v="Mallareddy"/>
        <s v="srinivas"/>
        <s v="balaih"/>
        <s v="sai balaji constructuions"/>
        <s v="L.S.R engineers"/>
        <s v="srauda"/>
        <s v="sravan"/>
        <s v="subba reddy"/>
        <s v="rohith reddy"/>
        <s v="niraj"/>
        <s v="Dr.raju"/>
        <s v="Csk construction"/>
        <s v="shiva reddy"/>
        <s v="venkatesh"/>
        <s v="mohan"/>
        <s v="praveen"/>
        <s v="Akbar"/>
        <s v="mai sammat"/>
        <s v="kalyan"/>
        <s v="Harish"/>
        <s v="Grr constructions"/>
        <s v="hall mark"/>
        <s v="Balral"/>
        <s v="decimrastruct"/>
        <s v="mallesh"/>
        <s v="ravi"/>
        <s v="venu"/>
        <s v="satish"/>
        <s v="cmany"/>
        <s v="naiudu"/>
        <s v="joginath"/>
        <s v="krishna"/>
        <s v="altanalt"/>
        <s v="Surendar reddy"/>
        <s v="Bn reddy"/>
        <s v="Hm towers"/>
        <s v="malli kumar"/>
        <s v="riyaz"/>
        <s v="suresh reddy"/>
        <s v="nagarjuna"/>
        <s v="sagar"/>
        <s v="sri lakshmi"/>
        <s v="ramu"/>
        <s v="dharma reddy"/>
        <s v="new land"/>
        <s v="mohamad"/>
        <s v="kala"/>
        <s v="madhavroa"/>
        <s v="buchi reddy"/>
        <s v="bharath"/>
        <s v="madhu"/>
        <s v="shankar reddy"/>
        <s v="kondaih"/>
        <s v="gopi"/>
        <s v="shankariah"/>
        <s v="maha"/>
        <s v="raju"/>
        <s v="ratan"/>
        <s v="vikash reddy" u="1"/>
        <s v=" malla reddy ag" u="1"/>
        <s v="neeraj" u="1"/>
        <s v="sathish" u="1"/>
        <s v="ramulu" u="1"/>
        <s v="shiva shanker" u="1"/>
        <s v="shankaraih" u="1"/>
      </sharedItems>
    </cacheField>
    <cacheField name="cement" numFmtId="0">
      <sharedItems containsSemiMixedTypes="0" containsString="0" containsNumber="1" minValue="0.21" maxValue="57"/>
    </cacheField>
    <cacheField name="sand" numFmtId="0">
      <sharedItems containsSemiMixedTypes="0" containsString="0" containsNumber="1" minValue="0.628" maxValue="186.048"/>
    </cacheField>
    <cacheField name="12mm" numFmtId="0">
      <sharedItems containsSemiMixedTypes="0" containsString="0" containsNumber="1" minValue="0.47" maxValue="112.8"/>
    </cacheField>
    <cacheField name="20mm" numFmtId="0">
      <sharedItems containsSemiMixedTypes="0" containsString="0" containsNumber="1" minValue="0.59499999999999997" maxValue="142.80000000000001"/>
    </cacheField>
    <cacheField name="flyash" numFmtId="0">
      <sharedItems containsSemiMixedTypes="0" containsString="0" containsNumber="1" minValue="0" maxValue="25.08"/>
    </cacheField>
    <cacheField name="week no" numFmtId="0">
      <sharedItems containsSemiMixedTypes="0" containsString="0" containsNumber="1" containsInteger="1" minValue="5" maxValue="22" count="18"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Days (Date)" numFmtId="0" databaseField="0">
      <fieldGroup base="0">
        <rangePr groupBy="days" startDate="2025-02-01T00:00:00" endDate="2025-05-30T00:00:00"/>
        <groupItems count="368">
          <s v="&lt;01-02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5-2025"/>
        </groupItems>
      </fieldGroup>
    </cacheField>
    <cacheField name="Months (Date)" numFmtId="0" databaseField="0">
      <fieldGroup base="0">
        <rangePr groupBy="months" startDate="2025-02-01T00:00:00" endDate="2025-05-30T00:00:00"/>
        <groupItems count="14">
          <s v="&lt;01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 reddy" refreshedDate="45841.88389513889" createdVersion="8" refreshedVersion="8" minRefreshableVersion="3" recordCount="81" xr:uid="{12A74C47-EEF0-40E1-980B-492C8FD83CD0}">
  <cacheSource type="worksheet">
    <worksheetSource ref="A1:C82" sheet="Customer segmentation"/>
  </cacheSource>
  <cacheFields count="3">
    <cacheField name="client" numFmtId="0">
      <sharedItems/>
    </cacheField>
    <cacheField name="total concrete ordered" numFmtId="0">
      <sharedItems containsSemiMixedTypes="0" containsString="0" containsNumber="1" minValue="3" maxValue="585.5"/>
    </cacheField>
    <cacheField name="type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 reddy" refreshedDate="45846.797732291663" createdVersion="8" refreshedVersion="8" minRefreshableVersion="3" recordCount="54" xr:uid="{90653198-5255-4C55-A227-B03AA3A3C6F4}">
  <cacheSource type="worksheet">
    <worksheetSource ref="A1:H55" sheet="transit mixers"/>
  </cacheSource>
  <cacheFields count="8">
    <cacheField name="Vehicle no" numFmtId="0">
      <sharedItems containsSemiMixedTypes="0" containsString="0" containsNumber="1" containsInteger="1" minValue="529" maxValue="6892"/>
    </cacheField>
    <cacheField name="exit " numFmtId="20">
      <sharedItems containsSemiMixedTypes="0" containsNonDate="0" containsDate="1" containsString="0" minDate="1899-12-30T04:26:00" maxDate="1899-12-30T21:00:00"/>
    </cacheField>
    <cacheField name="re entry" numFmtId="20">
      <sharedItems containsSemiMixedTypes="0" containsNonDate="0" containsDate="1" containsString="0" minDate="1899-12-30T06:20:00" maxDate="1899-12-30T21:55:00"/>
    </cacheField>
    <cacheField name="driver name" numFmtId="0">
      <sharedItems/>
    </cacheField>
    <cacheField name="turn around time" numFmtId="164">
      <sharedItems containsSemiMixedTypes="0" containsNonDate="0" containsDate="1" containsString="0" minDate="1899-12-30T00:10:00" maxDate="1899-12-30T04:35:00"/>
    </cacheField>
    <cacheField name="minutes" numFmtId="0">
      <sharedItems containsSemiMixedTypes="0" containsString="0" containsNumber="1" containsInteger="1" minValue="10" maxValue="275"/>
    </cacheField>
    <cacheField name="site" numFmtId="0">
      <sharedItems count="2">
        <s v="Site A"/>
        <s v="Site B"/>
      </sharedItems>
    </cacheField>
    <cacheField name="Daytime" numFmtId="0">
      <sharedItems count="5">
        <s v="Early Morning"/>
        <s v="Morning"/>
        <s v="Afternoon"/>
        <s v="Evening"/>
        <s v="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x v="0"/>
    <x v="0"/>
    <n v="3.5"/>
    <n v="1"/>
    <n v="3.5"/>
    <x v="0"/>
    <n v="0.80500000000000005"/>
    <n v="2.3519999999999999"/>
    <n v="1.645"/>
    <n v="2.0825"/>
    <n v="0.35"/>
    <x v="0"/>
  </r>
  <r>
    <x v="0"/>
    <x v="0"/>
    <n v="2.5"/>
    <n v="1"/>
    <n v="2.5"/>
    <x v="0"/>
    <n v="0.57499999999999996"/>
    <n v="1.68"/>
    <n v="1.175"/>
    <n v="1.4875"/>
    <n v="0.25"/>
    <x v="0"/>
  </r>
  <r>
    <x v="1"/>
    <x v="0"/>
    <n v="7.25"/>
    <n v="2"/>
    <n v="14.5"/>
    <x v="1"/>
    <n v="3.335"/>
    <n v="9.7439999999999998"/>
    <n v="6.8150000000000004"/>
    <n v="8.6274999999999995"/>
    <n v="1.45"/>
    <x v="1"/>
  </r>
  <r>
    <x v="2"/>
    <x v="1"/>
    <n v="5.5"/>
    <n v="1"/>
    <n v="5.5"/>
    <x v="2"/>
    <n v="1.375"/>
    <n v="4.4880000000000004"/>
    <n v="2.629"/>
    <n v="3.2229999999999999"/>
    <n v="0.60499999999999998"/>
    <x v="1"/>
  </r>
  <r>
    <x v="2"/>
    <x v="1"/>
    <n v="5"/>
    <n v="1"/>
    <n v="5"/>
    <x v="2"/>
    <n v="1.25"/>
    <n v="4.08"/>
    <n v="2.39"/>
    <n v="2.93"/>
    <n v="0.55000000000000004"/>
    <x v="1"/>
  </r>
  <r>
    <x v="2"/>
    <x v="2"/>
    <n v="7"/>
    <n v="5"/>
    <n v="35"/>
    <x v="3"/>
    <n v="11.2"/>
    <n v="21.98"/>
    <n v="16.45"/>
    <n v="21"/>
    <n v="2.8"/>
    <x v="1"/>
  </r>
  <r>
    <x v="2"/>
    <x v="2"/>
    <n v="3"/>
    <n v="1"/>
    <n v="3"/>
    <x v="3"/>
    <n v="0.96"/>
    <n v="1.8839999999999999"/>
    <n v="1.41"/>
    <n v="1.8"/>
    <n v="0.24"/>
    <x v="1"/>
  </r>
  <r>
    <x v="3"/>
    <x v="2"/>
    <n v="7"/>
    <n v="5"/>
    <n v="35"/>
    <x v="4"/>
    <n v="11.2"/>
    <n v="21.98"/>
    <n v="16.45"/>
    <n v="21"/>
    <n v="2.8"/>
    <x v="1"/>
  </r>
  <r>
    <x v="3"/>
    <x v="1"/>
    <n v="3"/>
    <n v="1"/>
    <n v="3"/>
    <x v="4"/>
    <n v="0.75"/>
    <n v="2.448"/>
    <n v="1.4339999999999999"/>
    <n v="1.758"/>
    <n v="0.33"/>
    <x v="1"/>
  </r>
  <r>
    <x v="3"/>
    <x v="2"/>
    <n v="7"/>
    <n v="5"/>
    <n v="35"/>
    <x v="5"/>
    <n v="11.2"/>
    <n v="21.98"/>
    <n v="16.45"/>
    <n v="21"/>
    <n v="2.8"/>
    <x v="1"/>
  </r>
  <r>
    <x v="3"/>
    <x v="3"/>
    <n v="6"/>
    <n v="1"/>
    <n v="6"/>
    <x v="6"/>
    <n v="1.56"/>
    <n v="4.3019999999999996"/>
    <n v="2.88"/>
    <n v="3.78"/>
    <n v="0"/>
    <x v="1"/>
  </r>
  <r>
    <x v="4"/>
    <x v="2"/>
    <n v="7"/>
    <n v="2"/>
    <n v="14"/>
    <x v="7"/>
    <n v="4.4800000000000004"/>
    <n v="8.7919999999999998"/>
    <n v="6.58"/>
    <n v="8.4"/>
    <n v="1.1200000000000001"/>
    <x v="1"/>
  </r>
  <r>
    <x v="4"/>
    <x v="2"/>
    <n v="3"/>
    <n v="1"/>
    <n v="3"/>
    <x v="7"/>
    <n v="0.96"/>
    <n v="1.8839999999999999"/>
    <n v="1.41"/>
    <n v="1.8"/>
    <n v="0.24"/>
    <x v="1"/>
  </r>
  <r>
    <x v="4"/>
    <x v="2"/>
    <n v="7"/>
    <n v="6"/>
    <n v="42"/>
    <x v="8"/>
    <n v="13.44"/>
    <n v="26.376000000000001"/>
    <n v="19.739999999999998"/>
    <n v="25.2"/>
    <n v="3.36"/>
    <x v="1"/>
  </r>
  <r>
    <x v="4"/>
    <x v="2"/>
    <n v="4"/>
    <n v="1"/>
    <n v="4"/>
    <x v="8"/>
    <n v="1.28"/>
    <n v="2.512"/>
    <n v="1.88"/>
    <n v="2.4"/>
    <n v="0.32"/>
    <x v="1"/>
  </r>
  <r>
    <x v="4"/>
    <x v="2"/>
    <n v="1"/>
    <n v="1"/>
    <n v="1"/>
    <x v="8"/>
    <n v="0.32"/>
    <n v="0.628"/>
    <n v="0.47"/>
    <n v="0.6"/>
    <n v="0.08"/>
    <x v="1"/>
  </r>
  <r>
    <x v="4"/>
    <x v="4"/>
    <n v="7"/>
    <n v="3"/>
    <n v="21"/>
    <x v="9"/>
    <n v="4.41"/>
    <n v="16.233000000000001"/>
    <n v="10.29"/>
    <n v="13.86"/>
    <n v="0"/>
    <x v="1"/>
  </r>
  <r>
    <x v="4"/>
    <x v="1"/>
    <n v="7"/>
    <n v="1"/>
    <n v="7"/>
    <x v="6"/>
    <n v="1.75"/>
    <n v="5.7119999999999997"/>
    <n v="3.3460000000000001"/>
    <n v="4.1020000000000003"/>
    <n v="0.77"/>
    <x v="1"/>
  </r>
  <r>
    <x v="5"/>
    <x v="4"/>
    <n v="7"/>
    <n v="1"/>
    <n v="7"/>
    <x v="9"/>
    <n v="1.47"/>
    <n v="5.4109999999999996"/>
    <n v="3.43"/>
    <n v="4.62"/>
    <n v="0"/>
    <x v="2"/>
  </r>
  <r>
    <x v="5"/>
    <x v="1"/>
    <n v="7"/>
    <n v="1"/>
    <n v="7"/>
    <x v="6"/>
    <n v="1.75"/>
    <n v="5.7119999999999997"/>
    <n v="3.3460000000000001"/>
    <n v="4.1020000000000003"/>
    <n v="0.77"/>
    <x v="2"/>
  </r>
  <r>
    <x v="5"/>
    <x v="2"/>
    <n v="5"/>
    <n v="1"/>
    <n v="5"/>
    <x v="10"/>
    <n v="1.6"/>
    <n v="3.14"/>
    <n v="2.35"/>
    <n v="3"/>
    <n v="0.4"/>
    <x v="2"/>
  </r>
  <r>
    <x v="5"/>
    <x v="2"/>
    <n v="4.5"/>
    <n v="1"/>
    <n v="4.5"/>
    <x v="7"/>
    <n v="1.44"/>
    <n v="2.8260000000000001"/>
    <n v="2.1150000000000002"/>
    <n v="2.7"/>
    <n v="0.36"/>
    <x v="2"/>
  </r>
  <r>
    <x v="5"/>
    <x v="2"/>
    <n v="7"/>
    <n v="5"/>
    <n v="35"/>
    <x v="11"/>
    <n v="11.2"/>
    <n v="21.98"/>
    <n v="16.45"/>
    <n v="21"/>
    <n v="2.8"/>
    <x v="2"/>
  </r>
  <r>
    <x v="5"/>
    <x v="2"/>
    <n v="2"/>
    <n v="1"/>
    <n v="2"/>
    <x v="11"/>
    <n v="0.64"/>
    <n v="1.256"/>
    <n v="0.94"/>
    <n v="1.2"/>
    <n v="0.16"/>
    <x v="2"/>
  </r>
  <r>
    <x v="5"/>
    <x v="2"/>
    <n v="6.5"/>
    <n v="2"/>
    <n v="13"/>
    <x v="12"/>
    <n v="4.16"/>
    <n v="8.1639999999999997"/>
    <n v="6.11"/>
    <n v="7.8"/>
    <n v="1.04"/>
    <x v="2"/>
  </r>
  <r>
    <x v="5"/>
    <x v="1"/>
    <n v="7"/>
    <n v="1"/>
    <n v="7"/>
    <x v="6"/>
    <n v="1.75"/>
    <n v="5.7119999999999997"/>
    <n v="3.3460000000000001"/>
    <n v="4.1020000000000003"/>
    <n v="0.77"/>
    <x v="2"/>
  </r>
  <r>
    <x v="6"/>
    <x v="0"/>
    <n v="6"/>
    <n v="1"/>
    <n v="6"/>
    <x v="13"/>
    <n v="1.38"/>
    <n v="4.032"/>
    <n v="2.82"/>
    <n v="3.57"/>
    <n v="0.6"/>
    <x v="2"/>
  </r>
  <r>
    <x v="6"/>
    <x v="0"/>
    <n v="3"/>
    <n v="1"/>
    <n v="3"/>
    <x v="13"/>
    <n v="0.69"/>
    <n v="2.016"/>
    <n v="1.41"/>
    <n v="1.7849999999999999"/>
    <n v="0.3"/>
    <x v="2"/>
  </r>
  <r>
    <x v="6"/>
    <x v="2"/>
    <n v="7"/>
    <n v="4"/>
    <n v="28"/>
    <x v="3"/>
    <n v="8.9600000000000009"/>
    <n v="17.584"/>
    <n v="13.16"/>
    <n v="16.8"/>
    <n v="2.2400000000000002"/>
    <x v="2"/>
  </r>
  <r>
    <x v="7"/>
    <x v="2"/>
    <n v="7"/>
    <n v="1"/>
    <n v="7"/>
    <x v="3"/>
    <n v="2.2400000000000002"/>
    <n v="4.3959999999999999"/>
    <n v="3.29"/>
    <n v="4.2"/>
    <n v="0.56000000000000005"/>
    <x v="2"/>
  </r>
  <r>
    <x v="7"/>
    <x v="1"/>
    <n v="7"/>
    <n v="4"/>
    <n v="28"/>
    <x v="9"/>
    <n v="7"/>
    <n v="22.847999999999999"/>
    <n v="13.384"/>
    <n v="16.408000000000001"/>
    <n v="3.08"/>
    <x v="2"/>
  </r>
  <r>
    <x v="8"/>
    <x v="1"/>
    <n v="7"/>
    <n v="10"/>
    <n v="70"/>
    <x v="9"/>
    <n v="17.5"/>
    <n v="57.12"/>
    <n v="33.46"/>
    <n v="41.02"/>
    <n v="7.7"/>
    <x v="2"/>
  </r>
  <r>
    <x v="8"/>
    <x v="1"/>
    <n v="7"/>
    <n v="3"/>
    <n v="21"/>
    <x v="6"/>
    <n v="5.25"/>
    <n v="17.135999999999999"/>
    <n v="10.038"/>
    <n v="12.305999999999999"/>
    <n v="2.31"/>
    <x v="2"/>
  </r>
  <r>
    <x v="9"/>
    <x v="1"/>
    <n v="7"/>
    <n v="5"/>
    <n v="35"/>
    <x v="9"/>
    <n v="8.75"/>
    <n v="28.56"/>
    <n v="16.73"/>
    <n v="20.51"/>
    <n v="3.85"/>
    <x v="2"/>
  </r>
  <r>
    <x v="9"/>
    <x v="1"/>
    <n v="7"/>
    <n v="1"/>
    <n v="7"/>
    <x v="6"/>
    <n v="1.75"/>
    <n v="5.7119999999999997"/>
    <n v="3.3460000000000001"/>
    <n v="4.1020000000000003"/>
    <n v="0.77"/>
    <x v="2"/>
  </r>
  <r>
    <x v="9"/>
    <x v="1"/>
    <n v="5"/>
    <n v="1"/>
    <n v="5"/>
    <x v="9"/>
    <n v="1.25"/>
    <n v="4.08"/>
    <n v="2.39"/>
    <n v="2.93"/>
    <n v="0.55000000000000004"/>
    <x v="2"/>
  </r>
  <r>
    <x v="9"/>
    <x v="1"/>
    <n v="5.5"/>
    <n v="1"/>
    <n v="5.5"/>
    <x v="9"/>
    <n v="1.375"/>
    <n v="4.4880000000000004"/>
    <n v="2.629"/>
    <n v="3.2229999999999999"/>
    <n v="0.60499999999999998"/>
    <x v="2"/>
  </r>
  <r>
    <x v="10"/>
    <x v="3"/>
    <n v="7"/>
    <n v="2"/>
    <n v="14"/>
    <x v="14"/>
    <n v="3.64"/>
    <n v="10.038"/>
    <n v="6.72"/>
    <n v="8.82"/>
    <n v="0"/>
    <x v="2"/>
  </r>
  <r>
    <x v="10"/>
    <x v="1"/>
    <n v="7"/>
    <n v="15"/>
    <n v="105"/>
    <x v="15"/>
    <n v="26.25"/>
    <n v="85.68"/>
    <n v="50.19"/>
    <n v="61.53"/>
    <n v="11.55"/>
    <x v="2"/>
  </r>
  <r>
    <x v="10"/>
    <x v="1"/>
    <n v="7"/>
    <n v="2"/>
    <n v="14"/>
    <x v="16"/>
    <n v="3.5"/>
    <n v="11.423999999999999"/>
    <n v="6.6920000000000002"/>
    <n v="8.2040000000000006"/>
    <n v="1.54"/>
    <x v="2"/>
  </r>
  <r>
    <x v="10"/>
    <x v="1"/>
    <n v="7"/>
    <n v="1"/>
    <n v="7"/>
    <x v="6"/>
    <n v="1.75"/>
    <n v="5.7119999999999997"/>
    <n v="3.3460000000000001"/>
    <n v="4.1020000000000003"/>
    <n v="0.77"/>
    <x v="2"/>
  </r>
  <r>
    <x v="10"/>
    <x v="3"/>
    <n v="3.5"/>
    <n v="1"/>
    <n v="3.5"/>
    <x v="14"/>
    <n v="0.91"/>
    <n v="2.5095000000000001"/>
    <n v="1.68"/>
    <n v="2.2050000000000001"/>
    <n v="0"/>
    <x v="2"/>
  </r>
  <r>
    <x v="11"/>
    <x v="0"/>
    <n v="7.5"/>
    <n v="1"/>
    <n v="7.5"/>
    <x v="17"/>
    <n v="1.7250000000000001"/>
    <n v="5.04"/>
    <n v="3.5249999999999999"/>
    <n v="4.4625000000000004"/>
    <n v="0.75"/>
    <x v="2"/>
  </r>
  <r>
    <x v="11"/>
    <x v="1"/>
    <n v="7"/>
    <n v="1"/>
    <n v="7"/>
    <x v="6"/>
    <n v="1.75"/>
    <n v="5.7119999999999997"/>
    <n v="3.3460000000000001"/>
    <n v="4.1020000000000003"/>
    <n v="0.77"/>
    <x v="2"/>
  </r>
  <r>
    <x v="12"/>
    <x v="0"/>
    <n v="8.5"/>
    <n v="1"/>
    <n v="8.5"/>
    <x v="18"/>
    <n v="1.9550000000000001"/>
    <n v="5.7119999999999997"/>
    <n v="3.9950000000000001"/>
    <n v="5.0575000000000001"/>
    <n v="0.85"/>
    <x v="3"/>
  </r>
  <r>
    <x v="13"/>
    <x v="0"/>
    <n v="5"/>
    <n v="1"/>
    <n v="5"/>
    <x v="17"/>
    <n v="1.1499999999999999"/>
    <n v="3.36"/>
    <n v="2.35"/>
    <n v="2.9750000000000001"/>
    <n v="0.5"/>
    <x v="3"/>
  </r>
  <r>
    <x v="13"/>
    <x v="0"/>
    <n v="7"/>
    <n v="5"/>
    <n v="35"/>
    <x v="19"/>
    <n v="8.0500000000000007"/>
    <n v="23.52"/>
    <n v="16.45"/>
    <n v="20.824999999999999"/>
    <n v="3.5"/>
    <x v="3"/>
  </r>
  <r>
    <x v="14"/>
    <x v="0"/>
    <n v="7"/>
    <n v="2"/>
    <n v="14"/>
    <x v="19"/>
    <n v="3.22"/>
    <n v="9.4079999999999995"/>
    <n v="6.58"/>
    <n v="8.33"/>
    <n v="1.4"/>
    <x v="3"/>
  </r>
  <r>
    <x v="14"/>
    <x v="2"/>
    <n v="7"/>
    <n v="3"/>
    <n v="21"/>
    <x v="3"/>
    <n v="6.72"/>
    <n v="13.188000000000001"/>
    <n v="9.8699999999999992"/>
    <n v="12.6"/>
    <n v="1.68"/>
    <x v="3"/>
  </r>
  <r>
    <x v="15"/>
    <x v="0"/>
    <n v="7"/>
    <n v="4"/>
    <n v="28"/>
    <x v="20"/>
    <n v="6.44"/>
    <n v="18.815999999999999"/>
    <n v="13.16"/>
    <n v="16.66"/>
    <n v="2.8"/>
    <x v="3"/>
  </r>
  <r>
    <x v="15"/>
    <x v="2"/>
    <n v="7"/>
    <n v="4"/>
    <n v="28"/>
    <x v="21"/>
    <n v="8.9600000000000009"/>
    <n v="17.584"/>
    <n v="13.16"/>
    <n v="16.8"/>
    <n v="2.2400000000000002"/>
    <x v="3"/>
  </r>
  <r>
    <x v="16"/>
    <x v="2"/>
    <n v="7"/>
    <n v="4"/>
    <n v="28"/>
    <x v="21"/>
    <n v="8.9600000000000009"/>
    <n v="17.584"/>
    <n v="13.16"/>
    <n v="16.8"/>
    <n v="2.2400000000000002"/>
    <x v="3"/>
  </r>
  <r>
    <x v="16"/>
    <x v="1"/>
    <n v="7"/>
    <n v="1"/>
    <n v="7"/>
    <x v="6"/>
    <n v="1.75"/>
    <n v="5.7119999999999997"/>
    <n v="3.3460000000000001"/>
    <n v="4.1020000000000003"/>
    <n v="0.77"/>
    <x v="3"/>
  </r>
  <r>
    <x v="17"/>
    <x v="1"/>
    <n v="6"/>
    <n v="1"/>
    <n v="6"/>
    <x v="6"/>
    <n v="1.5"/>
    <n v="4.8959999999999999"/>
    <n v="2.8679999999999999"/>
    <n v="3.516"/>
    <n v="0.66"/>
    <x v="3"/>
  </r>
  <r>
    <x v="17"/>
    <x v="2"/>
    <n v="6"/>
    <n v="7"/>
    <n v="42"/>
    <x v="22"/>
    <n v="13.44"/>
    <n v="26.376000000000001"/>
    <n v="19.739999999999998"/>
    <n v="25.2"/>
    <n v="3.36"/>
    <x v="3"/>
  </r>
  <r>
    <x v="17"/>
    <x v="2"/>
    <n v="3"/>
    <n v="1"/>
    <n v="3"/>
    <x v="22"/>
    <n v="0.96"/>
    <n v="1.8839999999999999"/>
    <n v="1.41"/>
    <n v="1.8"/>
    <n v="0.24"/>
    <x v="3"/>
  </r>
  <r>
    <x v="17"/>
    <x v="4"/>
    <n v="7"/>
    <n v="3"/>
    <n v="21"/>
    <x v="23"/>
    <n v="4.41"/>
    <n v="16.233000000000001"/>
    <n v="10.29"/>
    <n v="13.86"/>
    <n v="0"/>
    <x v="3"/>
  </r>
  <r>
    <x v="17"/>
    <x v="4"/>
    <n v="2.5"/>
    <n v="1"/>
    <n v="2.5"/>
    <x v="23"/>
    <n v="0.52500000000000002"/>
    <n v="1.9325000000000001"/>
    <n v="1.2250000000000001"/>
    <n v="1.65"/>
    <n v="0"/>
    <x v="3"/>
  </r>
  <r>
    <x v="18"/>
    <x v="1"/>
    <n v="6"/>
    <n v="1"/>
    <n v="6"/>
    <x v="6"/>
    <n v="1.5"/>
    <n v="4.8959999999999999"/>
    <n v="2.8679999999999999"/>
    <n v="3.516"/>
    <n v="0.66"/>
    <x v="3"/>
  </r>
  <r>
    <x v="18"/>
    <x v="2"/>
    <n v="7"/>
    <n v="1"/>
    <n v="7"/>
    <x v="7"/>
    <n v="2.2400000000000002"/>
    <n v="4.3959999999999999"/>
    <n v="3.29"/>
    <n v="4.2"/>
    <n v="0.56000000000000005"/>
    <x v="3"/>
  </r>
  <r>
    <x v="18"/>
    <x v="2"/>
    <n v="4"/>
    <n v="1"/>
    <n v="4"/>
    <x v="7"/>
    <n v="1.28"/>
    <n v="2.512"/>
    <n v="1.88"/>
    <n v="2.4"/>
    <n v="0.32"/>
    <x v="3"/>
  </r>
  <r>
    <x v="18"/>
    <x v="1"/>
    <n v="7"/>
    <n v="1"/>
    <n v="7"/>
    <x v="6"/>
    <n v="1.75"/>
    <n v="5.7119999999999997"/>
    <n v="3.3460000000000001"/>
    <n v="4.1020000000000003"/>
    <n v="0.77"/>
    <x v="3"/>
  </r>
  <r>
    <x v="18"/>
    <x v="2"/>
    <n v="6"/>
    <n v="2"/>
    <n v="12"/>
    <x v="24"/>
    <n v="3.84"/>
    <n v="7.5359999999999996"/>
    <n v="5.64"/>
    <n v="7.2"/>
    <n v="0.96"/>
    <x v="3"/>
  </r>
  <r>
    <x v="19"/>
    <x v="1"/>
    <n v="5"/>
    <n v="1"/>
    <n v="5"/>
    <x v="6"/>
    <n v="1.25"/>
    <n v="4.08"/>
    <n v="2.39"/>
    <n v="2.93"/>
    <n v="0.55000000000000004"/>
    <x v="4"/>
  </r>
  <r>
    <x v="19"/>
    <x v="0"/>
    <n v="6"/>
    <n v="1"/>
    <n v="6"/>
    <x v="23"/>
    <n v="1.38"/>
    <n v="4.032"/>
    <n v="2.82"/>
    <n v="3.57"/>
    <n v="0.6"/>
    <x v="4"/>
  </r>
  <r>
    <x v="19"/>
    <x v="0"/>
    <n v="2"/>
    <n v="1"/>
    <n v="2"/>
    <x v="23"/>
    <n v="0.46"/>
    <n v="1.3440000000000001"/>
    <n v="0.94"/>
    <n v="1.19"/>
    <n v="0.2"/>
    <x v="4"/>
  </r>
  <r>
    <x v="20"/>
    <x v="2"/>
    <n v="6"/>
    <n v="2"/>
    <n v="12"/>
    <x v="25"/>
    <n v="3.84"/>
    <n v="7.5359999999999996"/>
    <n v="5.64"/>
    <n v="7.2"/>
    <n v="0.96"/>
    <x v="4"/>
  </r>
  <r>
    <x v="20"/>
    <x v="0"/>
    <n v="4"/>
    <n v="1"/>
    <n v="4"/>
    <x v="25"/>
    <n v="0.92"/>
    <n v="2.6880000000000002"/>
    <n v="1.88"/>
    <n v="2.38"/>
    <n v="0.4"/>
    <x v="4"/>
  </r>
  <r>
    <x v="20"/>
    <x v="1"/>
    <n v="7"/>
    <n v="1"/>
    <n v="7"/>
    <x v="6"/>
    <n v="1.75"/>
    <n v="5.7119999999999997"/>
    <n v="3.3460000000000001"/>
    <n v="4.1020000000000003"/>
    <n v="0.77"/>
    <x v="4"/>
  </r>
  <r>
    <x v="21"/>
    <x v="0"/>
    <n v="4.5"/>
    <n v="1"/>
    <n v="4.5"/>
    <x v="26"/>
    <n v="1.0349999999999999"/>
    <n v="3.024"/>
    <n v="2.1150000000000002"/>
    <n v="2.6775000000000002"/>
    <n v="0.45"/>
    <x v="4"/>
  </r>
  <r>
    <x v="21"/>
    <x v="0"/>
    <n v="3.5"/>
    <n v="1"/>
    <n v="3.5"/>
    <x v="23"/>
    <n v="0.80500000000000005"/>
    <n v="2.3519999999999999"/>
    <n v="1.645"/>
    <n v="2.0825"/>
    <n v="0.35"/>
    <x v="4"/>
  </r>
  <r>
    <x v="21"/>
    <x v="4"/>
    <n v="7"/>
    <n v="1"/>
    <n v="7"/>
    <x v="27"/>
    <n v="1.47"/>
    <n v="5.4109999999999996"/>
    <n v="3.43"/>
    <n v="4.62"/>
    <n v="0"/>
    <x v="4"/>
  </r>
  <r>
    <x v="21"/>
    <x v="4"/>
    <n v="3"/>
    <n v="1"/>
    <n v="3"/>
    <x v="27"/>
    <n v="0.63"/>
    <n v="2.319"/>
    <n v="1.47"/>
    <n v="1.98"/>
    <n v="0"/>
    <x v="4"/>
  </r>
  <r>
    <x v="22"/>
    <x v="0"/>
    <n v="2.5"/>
    <n v="1"/>
    <n v="2.5"/>
    <x v="23"/>
    <n v="0.57499999999999996"/>
    <n v="1.68"/>
    <n v="1.175"/>
    <n v="1.4875"/>
    <n v="0.25"/>
    <x v="4"/>
  </r>
  <r>
    <x v="22"/>
    <x v="2"/>
    <n v="6"/>
    <n v="1"/>
    <n v="6"/>
    <x v="24"/>
    <n v="1.92"/>
    <n v="3.7679999999999998"/>
    <n v="2.82"/>
    <n v="3.6"/>
    <n v="0.48"/>
    <x v="4"/>
  </r>
  <r>
    <x v="22"/>
    <x v="3"/>
    <n v="7"/>
    <n v="5"/>
    <n v="35"/>
    <x v="18"/>
    <n v="9.1"/>
    <n v="25.094999999999999"/>
    <n v="16.8"/>
    <n v="22.05"/>
    <n v="0"/>
    <x v="4"/>
  </r>
  <r>
    <x v="22"/>
    <x v="3"/>
    <n v="6"/>
    <n v="1"/>
    <n v="6"/>
    <x v="18"/>
    <n v="1.56"/>
    <n v="4.3019999999999996"/>
    <n v="2.88"/>
    <n v="3.78"/>
    <n v="0"/>
    <x v="4"/>
  </r>
  <r>
    <x v="22"/>
    <x v="2"/>
    <n v="4"/>
    <n v="1"/>
    <n v="4"/>
    <x v="7"/>
    <n v="1.28"/>
    <n v="2.512"/>
    <n v="1.88"/>
    <n v="2.4"/>
    <n v="0.32"/>
    <x v="4"/>
  </r>
  <r>
    <x v="23"/>
    <x v="3"/>
    <n v="7"/>
    <n v="5"/>
    <n v="35"/>
    <x v="18"/>
    <n v="9.1"/>
    <n v="25.094999999999999"/>
    <n v="16.8"/>
    <n v="22.05"/>
    <n v="0"/>
    <x v="4"/>
  </r>
  <r>
    <x v="23"/>
    <x v="3"/>
    <n v="6"/>
    <n v="1"/>
    <n v="6"/>
    <x v="18"/>
    <n v="1.56"/>
    <n v="4.3019999999999996"/>
    <n v="2.88"/>
    <n v="3.78"/>
    <n v="0"/>
    <x v="4"/>
  </r>
  <r>
    <x v="24"/>
    <x v="3"/>
    <n v="7"/>
    <n v="6"/>
    <n v="42"/>
    <x v="18"/>
    <n v="10.92"/>
    <n v="30.114000000000001"/>
    <n v="20.16"/>
    <n v="26.46"/>
    <n v="0"/>
    <x v="4"/>
  </r>
  <r>
    <x v="24"/>
    <x v="3"/>
    <n v="7"/>
    <n v="1"/>
    <n v="7"/>
    <x v="6"/>
    <n v="1.82"/>
    <n v="5.0190000000000001"/>
    <n v="3.36"/>
    <n v="4.41"/>
    <n v="0"/>
    <x v="4"/>
  </r>
  <r>
    <x v="25"/>
    <x v="3"/>
    <n v="7"/>
    <n v="8"/>
    <n v="56"/>
    <x v="18"/>
    <n v="14.56"/>
    <n v="40.152000000000001"/>
    <n v="26.88"/>
    <n v="35.28"/>
    <n v="0"/>
    <x v="4"/>
  </r>
  <r>
    <x v="25"/>
    <x v="1"/>
    <n v="7"/>
    <n v="2"/>
    <n v="14"/>
    <x v="6"/>
    <n v="3.5"/>
    <n v="11.423999999999999"/>
    <n v="6.6920000000000002"/>
    <n v="8.2040000000000006"/>
    <n v="1.54"/>
    <x v="4"/>
  </r>
  <r>
    <x v="26"/>
    <x v="3"/>
    <n v="7"/>
    <n v="5"/>
    <n v="35"/>
    <x v="18"/>
    <n v="9.1"/>
    <n v="25.094999999999999"/>
    <n v="16.8"/>
    <n v="22.05"/>
    <n v="0"/>
    <x v="5"/>
  </r>
  <r>
    <x v="27"/>
    <x v="2"/>
    <n v="7"/>
    <n v="3"/>
    <n v="21"/>
    <x v="28"/>
    <n v="6.72"/>
    <n v="13.188000000000001"/>
    <n v="9.8699999999999992"/>
    <n v="12.6"/>
    <n v="1.68"/>
    <x v="5"/>
  </r>
  <r>
    <x v="28"/>
    <x v="2"/>
    <n v="6"/>
    <n v="3"/>
    <n v="18"/>
    <x v="3"/>
    <n v="5.76"/>
    <n v="11.304"/>
    <n v="8.4600000000000009"/>
    <n v="10.8"/>
    <n v="1.44"/>
    <x v="5"/>
  </r>
  <r>
    <x v="28"/>
    <x v="1"/>
    <n v="7"/>
    <n v="4"/>
    <n v="28"/>
    <x v="6"/>
    <n v="7"/>
    <n v="22.847999999999999"/>
    <n v="13.384"/>
    <n v="16.408000000000001"/>
    <n v="3.08"/>
    <x v="5"/>
  </r>
  <r>
    <x v="29"/>
    <x v="2"/>
    <n v="7"/>
    <n v="1"/>
    <n v="7"/>
    <x v="29"/>
    <n v="2.2400000000000002"/>
    <n v="4.3959999999999999"/>
    <n v="3.29"/>
    <n v="4.2"/>
    <n v="0.56000000000000005"/>
    <x v="5"/>
  </r>
  <r>
    <x v="29"/>
    <x v="1"/>
    <n v="7"/>
    <n v="5"/>
    <n v="35"/>
    <x v="30"/>
    <n v="8.75"/>
    <n v="28.56"/>
    <n v="16.73"/>
    <n v="20.51"/>
    <n v="3.85"/>
    <x v="5"/>
  </r>
  <r>
    <x v="30"/>
    <x v="1"/>
    <n v="7"/>
    <n v="3"/>
    <n v="21"/>
    <x v="30"/>
    <n v="5.25"/>
    <n v="17.135999999999999"/>
    <n v="10.038"/>
    <n v="12.305999999999999"/>
    <n v="2.31"/>
    <x v="5"/>
  </r>
  <r>
    <x v="30"/>
    <x v="0"/>
    <n v="8.5"/>
    <n v="1"/>
    <n v="8.5"/>
    <x v="18"/>
    <n v="1.9550000000000001"/>
    <n v="5.7119999999999997"/>
    <n v="3.9950000000000001"/>
    <n v="5.0575000000000001"/>
    <n v="0.85"/>
    <x v="5"/>
  </r>
  <r>
    <x v="30"/>
    <x v="2"/>
    <n v="6.5"/>
    <n v="5"/>
    <n v="32.5"/>
    <x v="31"/>
    <n v="10.4"/>
    <n v="20.41"/>
    <n v="15.275"/>
    <n v="19.5"/>
    <n v="2.6"/>
    <x v="5"/>
  </r>
  <r>
    <x v="31"/>
    <x v="2"/>
    <n v="6"/>
    <n v="1"/>
    <n v="6"/>
    <x v="31"/>
    <n v="1.92"/>
    <n v="3.7679999999999998"/>
    <n v="2.82"/>
    <n v="3.6"/>
    <n v="0.48"/>
    <x v="5"/>
  </r>
  <r>
    <x v="31"/>
    <x v="2"/>
    <n v="6.5"/>
    <n v="1"/>
    <n v="6.5"/>
    <x v="31"/>
    <n v="2.08"/>
    <n v="4.0819999999999999"/>
    <n v="3.0550000000000002"/>
    <n v="3.9"/>
    <n v="0.52"/>
    <x v="5"/>
  </r>
  <r>
    <x v="31"/>
    <x v="2"/>
    <n v="7"/>
    <n v="3"/>
    <n v="21"/>
    <x v="7"/>
    <n v="6.72"/>
    <n v="13.188000000000001"/>
    <n v="9.8699999999999992"/>
    <n v="12.6"/>
    <n v="1.68"/>
    <x v="5"/>
  </r>
  <r>
    <x v="31"/>
    <x v="4"/>
    <n v="3"/>
    <n v="1"/>
    <n v="3"/>
    <x v="27"/>
    <n v="0.63"/>
    <n v="2.319"/>
    <n v="1.47"/>
    <n v="1.98"/>
    <n v="0"/>
    <x v="5"/>
  </r>
  <r>
    <x v="31"/>
    <x v="1"/>
    <n v="7"/>
    <n v="1"/>
    <n v="7"/>
    <x v="6"/>
    <n v="1.75"/>
    <n v="5.7119999999999997"/>
    <n v="3.3460000000000001"/>
    <n v="4.1020000000000003"/>
    <n v="0.77"/>
    <x v="5"/>
  </r>
  <r>
    <x v="31"/>
    <x v="3"/>
    <n v="7"/>
    <n v="1"/>
    <n v="7"/>
    <x v="18"/>
    <n v="1.82"/>
    <n v="5.0190000000000001"/>
    <n v="3.36"/>
    <n v="4.41"/>
    <n v="0"/>
    <x v="5"/>
  </r>
  <r>
    <x v="32"/>
    <x v="0"/>
    <n v="6.5"/>
    <n v="3"/>
    <n v="19.5"/>
    <x v="32"/>
    <n v="4.4850000000000003"/>
    <n v="13.103999999999999"/>
    <n v="9.1649999999999991"/>
    <n v="11.602499999999999"/>
    <n v="1.95"/>
    <x v="6"/>
  </r>
  <r>
    <x v="32"/>
    <x v="0"/>
    <n v="6.25"/>
    <n v="2"/>
    <n v="12.5"/>
    <x v="32"/>
    <n v="2.875"/>
    <n v="8.4"/>
    <n v="5.875"/>
    <n v="7.4375"/>
    <n v="1.25"/>
    <x v="6"/>
  </r>
  <r>
    <x v="32"/>
    <x v="0"/>
    <n v="3"/>
    <n v="1"/>
    <n v="3"/>
    <x v="32"/>
    <n v="0.69"/>
    <n v="2.016"/>
    <n v="1.41"/>
    <n v="1.7849999999999999"/>
    <n v="0.3"/>
    <x v="6"/>
  </r>
  <r>
    <x v="33"/>
    <x v="2"/>
    <n v="4"/>
    <n v="1"/>
    <n v="4"/>
    <x v="32"/>
    <n v="1.28"/>
    <n v="2.512"/>
    <n v="1.88"/>
    <n v="2.4"/>
    <n v="0.32"/>
    <x v="6"/>
  </r>
  <r>
    <x v="34"/>
    <x v="1"/>
    <n v="7"/>
    <n v="1"/>
    <n v="7"/>
    <x v="6"/>
    <n v="1.75"/>
    <n v="5.7119999999999997"/>
    <n v="3.3460000000000001"/>
    <n v="4.1020000000000003"/>
    <n v="0.77"/>
    <x v="6"/>
  </r>
  <r>
    <x v="34"/>
    <x v="0"/>
    <n v="8"/>
    <n v="2"/>
    <n v="16"/>
    <x v="12"/>
    <n v="3.68"/>
    <n v="10.752000000000001"/>
    <n v="7.52"/>
    <n v="9.52"/>
    <n v="1.6"/>
    <x v="6"/>
  </r>
  <r>
    <x v="35"/>
    <x v="1"/>
    <n v="5"/>
    <n v="1"/>
    <n v="5"/>
    <x v="6"/>
    <n v="1.25"/>
    <n v="4.08"/>
    <n v="2.39"/>
    <n v="2.93"/>
    <n v="0.55000000000000004"/>
    <x v="6"/>
  </r>
  <r>
    <x v="36"/>
    <x v="0"/>
    <n v="3.5"/>
    <n v="1"/>
    <n v="3.5"/>
    <x v="33"/>
    <n v="0.80500000000000005"/>
    <n v="2.3519999999999999"/>
    <n v="1.645"/>
    <n v="2.0825"/>
    <n v="0.35"/>
    <x v="6"/>
  </r>
  <r>
    <x v="36"/>
    <x v="0"/>
    <n v="6.5"/>
    <n v="8"/>
    <n v="52"/>
    <x v="33"/>
    <n v="11.96"/>
    <n v="34.944000000000003"/>
    <n v="24.44"/>
    <n v="30.94"/>
    <n v="5.2"/>
    <x v="6"/>
  </r>
  <r>
    <x v="37"/>
    <x v="0"/>
    <n v="7"/>
    <n v="5"/>
    <n v="35"/>
    <x v="34"/>
    <n v="8.0500000000000007"/>
    <n v="23.52"/>
    <n v="16.45"/>
    <n v="20.824999999999999"/>
    <n v="3.5"/>
    <x v="7"/>
  </r>
  <r>
    <x v="37"/>
    <x v="0"/>
    <n v="3"/>
    <n v="1"/>
    <n v="3"/>
    <x v="34"/>
    <n v="0.69"/>
    <n v="2.016"/>
    <n v="1.41"/>
    <n v="1.7849999999999999"/>
    <n v="0.3"/>
    <x v="7"/>
  </r>
  <r>
    <x v="37"/>
    <x v="0"/>
    <n v="4"/>
    <n v="1"/>
    <n v="4"/>
    <x v="34"/>
    <n v="0.92"/>
    <n v="2.6880000000000002"/>
    <n v="1.88"/>
    <n v="2.38"/>
    <n v="0.4"/>
    <x v="7"/>
  </r>
  <r>
    <x v="37"/>
    <x v="4"/>
    <n v="7"/>
    <n v="2"/>
    <n v="14"/>
    <x v="23"/>
    <n v="2.94"/>
    <n v="10.821999999999999"/>
    <n v="6.86"/>
    <n v="9.24"/>
    <n v="0"/>
    <x v="7"/>
  </r>
  <r>
    <x v="37"/>
    <x v="1"/>
    <n v="7"/>
    <n v="1"/>
    <n v="7"/>
    <x v="6"/>
    <n v="1.75"/>
    <n v="5.7119999999999997"/>
    <n v="3.3460000000000001"/>
    <n v="4.1020000000000003"/>
    <n v="0.77"/>
    <x v="7"/>
  </r>
  <r>
    <x v="37"/>
    <x v="0"/>
    <n v="7"/>
    <n v="1"/>
    <n v="7"/>
    <x v="25"/>
    <n v="1.61"/>
    <n v="4.7039999999999997"/>
    <n v="3.29"/>
    <n v="4.165"/>
    <n v="0.7"/>
    <x v="7"/>
  </r>
  <r>
    <x v="37"/>
    <x v="0"/>
    <n v="5"/>
    <n v="1"/>
    <n v="5"/>
    <x v="25"/>
    <n v="1.1499999999999999"/>
    <n v="3.36"/>
    <n v="2.35"/>
    <n v="2.9750000000000001"/>
    <n v="0.5"/>
    <x v="7"/>
  </r>
  <r>
    <x v="38"/>
    <x v="0"/>
    <n v="7"/>
    <n v="1"/>
    <n v="7"/>
    <x v="35"/>
    <n v="1.61"/>
    <n v="4.7039999999999997"/>
    <n v="3.29"/>
    <n v="4.165"/>
    <n v="0.7"/>
    <x v="7"/>
  </r>
  <r>
    <x v="38"/>
    <x v="0"/>
    <n v="6"/>
    <n v="1"/>
    <n v="6"/>
    <x v="35"/>
    <n v="1.38"/>
    <n v="4.032"/>
    <n v="2.82"/>
    <n v="3.57"/>
    <n v="0.6"/>
    <x v="7"/>
  </r>
  <r>
    <x v="38"/>
    <x v="0"/>
    <n v="5.5"/>
    <n v="1"/>
    <n v="5.5"/>
    <x v="35"/>
    <n v="1.2649999999999999"/>
    <n v="3.6960000000000002"/>
    <n v="2.585"/>
    <n v="3.2725"/>
    <n v="0.55000000000000004"/>
    <x v="7"/>
  </r>
  <r>
    <x v="39"/>
    <x v="2"/>
    <n v="7"/>
    <n v="2"/>
    <n v="14"/>
    <x v="36"/>
    <n v="4.4800000000000004"/>
    <n v="8.7919999999999998"/>
    <n v="6.58"/>
    <n v="8.4"/>
    <n v="1.1200000000000001"/>
    <x v="7"/>
  </r>
  <r>
    <x v="39"/>
    <x v="2"/>
    <n v="5"/>
    <n v="1"/>
    <n v="5"/>
    <x v="36"/>
    <n v="1.6"/>
    <n v="3.14"/>
    <n v="2.35"/>
    <n v="3"/>
    <n v="0.4"/>
    <x v="7"/>
  </r>
  <r>
    <x v="39"/>
    <x v="4"/>
    <n v="4"/>
    <n v="1"/>
    <n v="4"/>
    <x v="23"/>
    <n v="0.84"/>
    <n v="3.0920000000000001"/>
    <n v="1.96"/>
    <n v="2.64"/>
    <n v="0"/>
    <x v="7"/>
  </r>
  <r>
    <x v="40"/>
    <x v="2"/>
    <n v="6.5"/>
    <n v="2"/>
    <n v="13"/>
    <x v="24"/>
    <n v="4.16"/>
    <n v="8.1639999999999997"/>
    <n v="6.11"/>
    <n v="7.8"/>
    <n v="1.04"/>
    <x v="7"/>
  </r>
  <r>
    <x v="41"/>
    <x v="0"/>
    <n v="7"/>
    <n v="1"/>
    <n v="7"/>
    <x v="37"/>
    <n v="1.61"/>
    <n v="4.7039999999999997"/>
    <n v="3.29"/>
    <n v="4.165"/>
    <n v="0.7"/>
    <x v="7"/>
  </r>
  <r>
    <x v="41"/>
    <x v="0"/>
    <n v="6"/>
    <n v="2"/>
    <n v="12"/>
    <x v="38"/>
    <n v="2.76"/>
    <n v="8.0640000000000001"/>
    <n v="5.64"/>
    <n v="7.14"/>
    <n v="1.2"/>
    <x v="7"/>
  </r>
  <r>
    <x v="42"/>
    <x v="2"/>
    <n v="7"/>
    <n v="1"/>
    <n v="7"/>
    <x v="26"/>
    <n v="2.2400000000000002"/>
    <n v="4.3959999999999999"/>
    <n v="3.29"/>
    <n v="4.2"/>
    <n v="0.56000000000000005"/>
    <x v="7"/>
  </r>
  <r>
    <x v="42"/>
    <x v="3"/>
    <n v="6.5"/>
    <n v="2"/>
    <n v="13"/>
    <x v="39"/>
    <n v="3.38"/>
    <n v="9.3209999999999997"/>
    <n v="6.24"/>
    <n v="8.19"/>
    <n v="0"/>
    <x v="7"/>
  </r>
  <r>
    <x v="42"/>
    <x v="3"/>
    <n v="4.5"/>
    <n v="1"/>
    <n v="4.5"/>
    <x v="39"/>
    <n v="1.17"/>
    <n v="3.2265000000000001"/>
    <n v="2.16"/>
    <n v="2.835"/>
    <n v="0"/>
    <x v="7"/>
  </r>
  <r>
    <x v="42"/>
    <x v="3"/>
    <n v="4"/>
    <n v="1"/>
    <n v="4"/>
    <x v="39"/>
    <n v="1.04"/>
    <n v="2.8679999999999999"/>
    <n v="1.92"/>
    <n v="2.52"/>
    <n v="0"/>
    <x v="7"/>
  </r>
  <r>
    <x v="42"/>
    <x v="3"/>
    <n v="7"/>
    <n v="3"/>
    <n v="21"/>
    <x v="6"/>
    <n v="5.46"/>
    <n v="15.057"/>
    <n v="10.08"/>
    <n v="13.23"/>
    <n v="0"/>
    <x v="7"/>
  </r>
  <r>
    <x v="43"/>
    <x v="3"/>
    <n v="7"/>
    <n v="4"/>
    <n v="28"/>
    <x v="6"/>
    <n v="7.28"/>
    <n v="20.076000000000001"/>
    <n v="13.44"/>
    <n v="17.64"/>
    <n v="0"/>
    <x v="8"/>
  </r>
  <r>
    <x v="43"/>
    <x v="2"/>
    <n v="6"/>
    <n v="1"/>
    <n v="6"/>
    <x v="40"/>
    <n v="1.92"/>
    <n v="3.7679999999999998"/>
    <n v="2.82"/>
    <n v="3.6"/>
    <n v="0.48"/>
    <x v="8"/>
  </r>
  <r>
    <x v="43"/>
    <x v="2"/>
    <n v="5"/>
    <n v="2"/>
    <n v="10"/>
    <x v="40"/>
    <n v="3.2"/>
    <n v="6.28"/>
    <n v="4.7"/>
    <n v="6"/>
    <n v="0.8"/>
    <x v="8"/>
  </r>
  <r>
    <x v="44"/>
    <x v="0"/>
    <n v="7"/>
    <n v="11"/>
    <n v="77"/>
    <x v="24"/>
    <n v="17.71"/>
    <n v="51.744"/>
    <n v="36.19"/>
    <n v="45.814999999999998"/>
    <n v="7.7"/>
    <x v="8"/>
  </r>
  <r>
    <x v="45"/>
    <x v="2"/>
    <n v="7"/>
    <n v="3"/>
    <n v="21"/>
    <x v="41"/>
    <n v="6.72"/>
    <n v="13.188000000000001"/>
    <n v="9.8699999999999992"/>
    <n v="12.6"/>
    <n v="1.68"/>
    <x v="8"/>
  </r>
  <r>
    <x v="45"/>
    <x v="2"/>
    <n v="2.5"/>
    <n v="1"/>
    <n v="2.5"/>
    <x v="41"/>
    <n v="0.8"/>
    <n v="1.57"/>
    <n v="1.175"/>
    <n v="1.5"/>
    <n v="0.2"/>
    <x v="8"/>
  </r>
  <r>
    <x v="45"/>
    <x v="2"/>
    <n v="2.5"/>
    <n v="1"/>
    <n v="2.5"/>
    <x v="26"/>
    <n v="0.8"/>
    <n v="1.57"/>
    <n v="1.175"/>
    <n v="1.5"/>
    <n v="0.2"/>
    <x v="8"/>
  </r>
  <r>
    <x v="45"/>
    <x v="0"/>
    <n v="7"/>
    <n v="5"/>
    <n v="35"/>
    <x v="30"/>
    <n v="8.0500000000000007"/>
    <n v="23.52"/>
    <n v="16.45"/>
    <n v="20.824999999999999"/>
    <n v="3.5"/>
    <x v="8"/>
  </r>
  <r>
    <x v="46"/>
    <x v="0"/>
    <n v="7"/>
    <n v="2"/>
    <n v="14"/>
    <x v="30"/>
    <n v="3.22"/>
    <n v="9.4079999999999995"/>
    <n v="6.58"/>
    <n v="8.33"/>
    <n v="1.4"/>
    <x v="8"/>
  </r>
  <r>
    <x v="46"/>
    <x v="1"/>
    <n v="6"/>
    <n v="5"/>
    <n v="30"/>
    <x v="6"/>
    <n v="7.5"/>
    <n v="24.48"/>
    <n v="14.34"/>
    <n v="17.579999999999998"/>
    <n v="3.3"/>
    <x v="8"/>
  </r>
  <r>
    <x v="46"/>
    <x v="1"/>
    <n v="8.5"/>
    <n v="1"/>
    <n v="8.5"/>
    <x v="18"/>
    <n v="2.125"/>
    <n v="6.9359999999999999"/>
    <n v="4.0629999999999997"/>
    <n v="4.9809999999999999"/>
    <n v="0.93500000000000005"/>
    <x v="8"/>
  </r>
  <r>
    <x v="47"/>
    <x v="1"/>
    <n v="6"/>
    <n v="8"/>
    <n v="48"/>
    <x v="6"/>
    <n v="12"/>
    <n v="39.167999999999999"/>
    <n v="22.943999999999999"/>
    <n v="28.128"/>
    <n v="5.28"/>
    <x v="8"/>
  </r>
  <r>
    <x v="47"/>
    <x v="1"/>
    <n v="5"/>
    <n v="1"/>
    <n v="5"/>
    <x v="6"/>
    <n v="1.25"/>
    <n v="4.08"/>
    <n v="2.39"/>
    <n v="2.93"/>
    <n v="0.55000000000000004"/>
    <x v="8"/>
  </r>
  <r>
    <x v="47"/>
    <x v="1"/>
    <n v="2"/>
    <n v="1"/>
    <n v="2"/>
    <x v="6"/>
    <n v="0.5"/>
    <n v="1.6319999999999999"/>
    <n v="0.95599999999999996"/>
    <n v="1.1719999999999999"/>
    <n v="0.22"/>
    <x v="8"/>
  </r>
  <r>
    <x v="48"/>
    <x v="2"/>
    <n v="4.5"/>
    <n v="1"/>
    <n v="4.5"/>
    <x v="42"/>
    <n v="1.44"/>
    <n v="2.8260000000000001"/>
    <n v="2.1150000000000002"/>
    <n v="2.7"/>
    <n v="0.36"/>
    <x v="8"/>
  </r>
  <r>
    <x v="48"/>
    <x v="2"/>
    <n v="4"/>
    <n v="1"/>
    <n v="4"/>
    <x v="42"/>
    <n v="1.28"/>
    <n v="2.512"/>
    <n v="1.88"/>
    <n v="2.4"/>
    <n v="0.32"/>
    <x v="8"/>
  </r>
  <r>
    <x v="48"/>
    <x v="4"/>
    <n v="6"/>
    <n v="7"/>
    <n v="42"/>
    <x v="43"/>
    <n v="8.82"/>
    <n v="32.466000000000001"/>
    <n v="20.58"/>
    <n v="27.72"/>
    <n v="0"/>
    <x v="8"/>
  </r>
  <r>
    <x v="48"/>
    <x v="4"/>
    <n v="6"/>
    <n v="4"/>
    <n v="24"/>
    <x v="44"/>
    <n v="5.04"/>
    <n v="18.552"/>
    <n v="11.76"/>
    <n v="15.84"/>
    <n v="0"/>
    <x v="8"/>
  </r>
  <r>
    <x v="48"/>
    <x v="2"/>
    <n v="7"/>
    <n v="3"/>
    <n v="21"/>
    <x v="7"/>
    <n v="6.72"/>
    <n v="13.188000000000001"/>
    <n v="9.8699999999999992"/>
    <n v="12.6"/>
    <n v="1.68"/>
    <x v="8"/>
  </r>
  <r>
    <x v="48"/>
    <x v="2"/>
    <n v="6"/>
    <n v="1"/>
    <n v="6"/>
    <x v="7"/>
    <n v="1.92"/>
    <n v="3.7679999999999998"/>
    <n v="2.82"/>
    <n v="3.6"/>
    <n v="0.48"/>
    <x v="8"/>
  </r>
  <r>
    <x v="48"/>
    <x v="2"/>
    <n v="3"/>
    <n v="1"/>
    <n v="3"/>
    <x v="7"/>
    <n v="0.96"/>
    <n v="1.8839999999999999"/>
    <n v="1.41"/>
    <n v="1.8"/>
    <n v="0.24"/>
    <x v="8"/>
  </r>
  <r>
    <x v="48"/>
    <x v="2"/>
    <n v="7"/>
    <n v="1"/>
    <n v="7"/>
    <x v="24"/>
    <n v="2.2400000000000002"/>
    <n v="4.3959999999999999"/>
    <n v="3.29"/>
    <n v="4.2"/>
    <n v="0.56000000000000005"/>
    <x v="8"/>
  </r>
  <r>
    <x v="49"/>
    <x v="1"/>
    <n v="6"/>
    <n v="38"/>
    <n v="228"/>
    <x v="43"/>
    <n v="57"/>
    <n v="186.048"/>
    <n v="108.98399999999999"/>
    <n v="133.608"/>
    <n v="25.08"/>
    <x v="8"/>
  </r>
  <r>
    <x v="50"/>
    <x v="0"/>
    <n v="7"/>
    <n v="2"/>
    <n v="14"/>
    <x v="24"/>
    <n v="3.22"/>
    <n v="9.4079999999999995"/>
    <n v="6.58"/>
    <n v="8.33"/>
    <n v="1.4"/>
    <x v="9"/>
  </r>
  <r>
    <x v="51"/>
    <x v="2"/>
    <n v="6"/>
    <n v="5"/>
    <n v="30"/>
    <x v="32"/>
    <n v="9.6"/>
    <n v="18.84"/>
    <n v="14.1"/>
    <n v="18"/>
    <n v="2.4"/>
    <x v="9"/>
  </r>
  <r>
    <x v="51"/>
    <x v="0"/>
    <n v="5.5"/>
    <n v="1"/>
    <n v="5.5"/>
    <x v="32"/>
    <n v="1.2649999999999999"/>
    <n v="3.6960000000000002"/>
    <n v="2.585"/>
    <n v="3.2725"/>
    <n v="0.55000000000000004"/>
    <x v="9"/>
  </r>
  <r>
    <x v="51"/>
    <x v="0"/>
    <n v="2.5"/>
    <n v="1"/>
    <n v="2.5"/>
    <x v="22"/>
    <n v="0.57499999999999996"/>
    <n v="1.68"/>
    <n v="1.175"/>
    <n v="1.4875"/>
    <n v="0.25"/>
    <x v="9"/>
  </r>
  <r>
    <x v="51"/>
    <x v="2"/>
    <n v="7"/>
    <n v="1"/>
    <n v="7"/>
    <x v="44"/>
    <n v="2.2400000000000002"/>
    <n v="4.3959999999999999"/>
    <n v="3.29"/>
    <n v="4.2"/>
    <n v="0.56000000000000005"/>
    <x v="9"/>
  </r>
  <r>
    <x v="51"/>
    <x v="2"/>
    <n v="1"/>
    <n v="1"/>
    <n v="1"/>
    <x v="44"/>
    <n v="0.32"/>
    <n v="0.628"/>
    <n v="0.47"/>
    <n v="0.6"/>
    <n v="0.08"/>
    <x v="9"/>
  </r>
  <r>
    <x v="51"/>
    <x v="2"/>
    <n v="6"/>
    <n v="2"/>
    <n v="12"/>
    <x v="45"/>
    <n v="3.84"/>
    <n v="7.5359999999999996"/>
    <n v="5.64"/>
    <n v="7.2"/>
    <n v="0.96"/>
    <x v="9"/>
  </r>
  <r>
    <x v="51"/>
    <x v="2"/>
    <n v="7"/>
    <n v="1"/>
    <n v="7"/>
    <x v="46"/>
    <n v="2.2400000000000002"/>
    <n v="4.3959999999999999"/>
    <n v="3.29"/>
    <n v="4.2"/>
    <n v="0.56000000000000005"/>
    <x v="9"/>
  </r>
  <r>
    <x v="51"/>
    <x v="2"/>
    <n v="6"/>
    <n v="1"/>
    <n v="6"/>
    <x v="19"/>
    <n v="1.92"/>
    <n v="3.7679999999999998"/>
    <n v="2.82"/>
    <n v="3.6"/>
    <n v="0.48"/>
    <x v="9"/>
  </r>
  <r>
    <x v="51"/>
    <x v="2"/>
    <n v="6.5"/>
    <n v="2"/>
    <n v="13"/>
    <x v="19"/>
    <n v="4.16"/>
    <n v="8.1639999999999997"/>
    <n v="6.11"/>
    <n v="7.8"/>
    <n v="1.04"/>
    <x v="9"/>
  </r>
  <r>
    <x v="52"/>
    <x v="2"/>
    <n v="7"/>
    <n v="3"/>
    <n v="21"/>
    <x v="47"/>
    <n v="6.72"/>
    <n v="13.188000000000001"/>
    <n v="9.8699999999999992"/>
    <n v="12.6"/>
    <n v="1.68"/>
    <x v="9"/>
  </r>
  <r>
    <x v="53"/>
    <x v="0"/>
    <n v="6"/>
    <n v="40"/>
    <n v="240"/>
    <x v="48"/>
    <n v="55.2"/>
    <n v="161.28"/>
    <n v="112.8"/>
    <n v="142.80000000000001"/>
    <n v="24"/>
    <x v="10"/>
  </r>
  <r>
    <x v="54"/>
    <x v="4"/>
    <n v="6"/>
    <n v="1"/>
    <n v="6"/>
    <x v="24"/>
    <n v="1.26"/>
    <n v="4.6379999999999999"/>
    <n v="2.94"/>
    <n v="3.96"/>
    <n v="0"/>
    <x v="10"/>
  </r>
  <r>
    <x v="54"/>
    <x v="4"/>
    <n v="1"/>
    <n v="1"/>
    <n v="1"/>
    <x v="24"/>
    <n v="0.21"/>
    <n v="0.77300000000000002"/>
    <n v="0.49"/>
    <n v="0.66"/>
    <n v="0"/>
    <x v="10"/>
  </r>
  <r>
    <x v="54"/>
    <x v="0"/>
    <n v="7"/>
    <n v="8"/>
    <n v="56"/>
    <x v="49"/>
    <n v="12.88"/>
    <n v="37.631999999999998"/>
    <n v="26.32"/>
    <n v="33.32"/>
    <n v="5.6"/>
    <x v="10"/>
  </r>
  <r>
    <x v="54"/>
    <x v="0"/>
    <n v="6"/>
    <n v="1"/>
    <n v="6"/>
    <x v="49"/>
    <n v="1.38"/>
    <n v="4.032"/>
    <n v="2.82"/>
    <n v="3.57"/>
    <n v="0.6"/>
    <x v="10"/>
  </r>
  <r>
    <x v="54"/>
    <x v="0"/>
    <n v="6.5"/>
    <n v="1"/>
    <n v="6.5"/>
    <x v="49"/>
    <n v="1.4950000000000001"/>
    <n v="4.3680000000000003"/>
    <n v="3.0550000000000002"/>
    <n v="3.8675000000000002"/>
    <n v="0.65"/>
    <x v="10"/>
  </r>
  <r>
    <x v="54"/>
    <x v="4"/>
    <n v="6"/>
    <n v="2"/>
    <n v="12"/>
    <x v="31"/>
    <n v="2.52"/>
    <n v="9.2759999999999998"/>
    <n v="5.88"/>
    <n v="7.92"/>
    <n v="0"/>
    <x v="10"/>
  </r>
  <r>
    <x v="55"/>
    <x v="2"/>
    <n v="3"/>
    <n v="3"/>
    <n v="9"/>
    <x v="50"/>
    <n v="2.88"/>
    <n v="5.6520000000000001"/>
    <n v="4.2300000000000004"/>
    <n v="5.4"/>
    <n v="0.72"/>
    <x v="10"/>
  </r>
  <r>
    <x v="55"/>
    <x v="4"/>
    <n v="1"/>
    <n v="1"/>
    <n v="1"/>
    <x v="50"/>
    <n v="0.21"/>
    <n v="0.77300000000000002"/>
    <n v="0.49"/>
    <n v="0.66"/>
    <n v="0"/>
    <x v="10"/>
  </r>
  <r>
    <x v="55"/>
    <x v="2"/>
    <n v="6"/>
    <n v="1"/>
    <n v="6"/>
    <x v="44"/>
    <n v="1.92"/>
    <n v="3.7679999999999998"/>
    <n v="2.82"/>
    <n v="3.6"/>
    <n v="0.48"/>
    <x v="10"/>
  </r>
  <r>
    <x v="55"/>
    <x v="2"/>
    <n v="8"/>
    <n v="1"/>
    <n v="8"/>
    <x v="44"/>
    <n v="2.56"/>
    <n v="5.024"/>
    <n v="3.76"/>
    <n v="4.8"/>
    <n v="0.64"/>
    <x v="10"/>
  </r>
  <r>
    <x v="55"/>
    <x v="0"/>
    <n v="7"/>
    <n v="2"/>
    <n v="14"/>
    <x v="24"/>
    <n v="3.22"/>
    <n v="9.4079999999999995"/>
    <n v="6.58"/>
    <n v="8.33"/>
    <n v="1.4"/>
    <x v="10"/>
  </r>
  <r>
    <x v="56"/>
    <x v="2"/>
    <n v="5.25"/>
    <n v="2"/>
    <n v="10.5"/>
    <x v="26"/>
    <n v="3.36"/>
    <n v="6.5940000000000003"/>
    <n v="4.9349999999999996"/>
    <n v="6.3"/>
    <n v="0.84"/>
    <x v="10"/>
  </r>
  <r>
    <x v="56"/>
    <x v="0"/>
    <n v="7"/>
    <n v="7"/>
    <n v="49"/>
    <x v="30"/>
    <n v="11.27"/>
    <n v="32.927999999999997"/>
    <n v="23.03"/>
    <n v="29.155000000000001"/>
    <n v="4.9000000000000004"/>
    <x v="10"/>
  </r>
  <r>
    <x v="57"/>
    <x v="2"/>
    <n v="6"/>
    <n v="1"/>
    <n v="6"/>
    <x v="44"/>
    <n v="1.92"/>
    <n v="3.7679999999999998"/>
    <n v="2.82"/>
    <n v="3.6"/>
    <n v="0.48"/>
    <x v="10"/>
  </r>
  <r>
    <x v="57"/>
    <x v="2"/>
    <n v="7"/>
    <n v="4"/>
    <n v="28"/>
    <x v="51"/>
    <n v="8.9600000000000009"/>
    <n v="17.584"/>
    <n v="13.16"/>
    <n v="16.8"/>
    <n v="2.2400000000000002"/>
    <x v="10"/>
  </r>
  <r>
    <x v="57"/>
    <x v="2"/>
    <n v="6"/>
    <n v="1"/>
    <n v="6"/>
    <x v="51"/>
    <n v="1.92"/>
    <n v="3.7679999999999998"/>
    <n v="2.82"/>
    <n v="3.6"/>
    <n v="0.48"/>
    <x v="10"/>
  </r>
  <r>
    <x v="57"/>
    <x v="0"/>
    <n v="7"/>
    <n v="2"/>
    <n v="14"/>
    <x v="51"/>
    <n v="3.22"/>
    <n v="9.4079999999999995"/>
    <n v="6.58"/>
    <n v="8.33"/>
    <n v="1.4"/>
    <x v="10"/>
  </r>
  <r>
    <x v="57"/>
    <x v="2"/>
    <n v="6.5"/>
    <n v="1"/>
    <n v="6.5"/>
    <x v="51"/>
    <n v="2.08"/>
    <n v="4.0819999999999999"/>
    <n v="3.0550000000000002"/>
    <n v="3.9"/>
    <n v="0.52"/>
    <x v="10"/>
  </r>
  <r>
    <x v="57"/>
    <x v="2"/>
    <n v="4"/>
    <n v="1"/>
    <n v="4"/>
    <x v="44"/>
    <n v="1.28"/>
    <n v="2.512"/>
    <n v="1.88"/>
    <n v="2.4"/>
    <n v="0.32"/>
    <x v="10"/>
  </r>
  <r>
    <x v="58"/>
    <x v="0"/>
    <n v="6"/>
    <n v="1"/>
    <n v="6"/>
    <x v="52"/>
    <n v="1.38"/>
    <n v="4.032"/>
    <n v="2.82"/>
    <n v="3.57"/>
    <n v="0.6"/>
    <x v="10"/>
  </r>
  <r>
    <x v="58"/>
    <x v="0"/>
    <n v="5.5"/>
    <n v="1"/>
    <n v="5.5"/>
    <x v="52"/>
    <n v="1.2649999999999999"/>
    <n v="3.6960000000000002"/>
    <n v="2.585"/>
    <n v="3.2725"/>
    <n v="0.55000000000000004"/>
    <x v="10"/>
  </r>
  <r>
    <x v="58"/>
    <x v="2"/>
    <n v="1"/>
    <n v="1"/>
    <n v="1"/>
    <x v="44"/>
    <n v="0.32"/>
    <n v="0.628"/>
    <n v="0.47"/>
    <n v="0.6"/>
    <n v="0.08"/>
    <x v="10"/>
  </r>
  <r>
    <x v="58"/>
    <x v="1"/>
    <n v="6"/>
    <n v="4"/>
    <n v="24"/>
    <x v="48"/>
    <n v="6"/>
    <n v="19.584"/>
    <n v="11.472"/>
    <n v="14.064"/>
    <n v="2.64"/>
    <x v="10"/>
  </r>
  <r>
    <x v="58"/>
    <x v="2"/>
    <n v="6"/>
    <n v="2"/>
    <n v="12"/>
    <x v="53"/>
    <n v="3.84"/>
    <n v="7.5359999999999996"/>
    <n v="5.64"/>
    <n v="7.2"/>
    <n v="0.96"/>
    <x v="10"/>
  </r>
  <r>
    <x v="58"/>
    <x v="2"/>
    <n v="7"/>
    <n v="1"/>
    <n v="7"/>
    <x v="53"/>
    <n v="2.2400000000000002"/>
    <n v="4.3959999999999999"/>
    <n v="3.29"/>
    <n v="4.2"/>
    <n v="0.56000000000000005"/>
    <x v="10"/>
  </r>
  <r>
    <x v="59"/>
    <x v="1"/>
    <n v="6.5"/>
    <n v="1"/>
    <n v="6.5"/>
    <x v="48"/>
    <n v="1.625"/>
    <n v="5.3040000000000003"/>
    <n v="3.1070000000000002"/>
    <n v="3.8090000000000002"/>
    <n v="0.71499999999999997"/>
    <x v="11"/>
  </r>
  <r>
    <x v="59"/>
    <x v="0"/>
    <n v="3"/>
    <n v="1"/>
    <n v="3"/>
    <x v="54"/>
    <n v="0.69"/>
    <n v="2.016"/>
    <n v="1.41"/>
    <n v="1.7849999999999999"/>
    <n v="0.3"/>
    <x v="11"/>
  </r>
  <r>
    <x v="60"/>
    <x v="1"/>
    <n v="5.5"/>
    <n v="1"/>
    <n v="5.5"/>
    <x v="48"/>
    <n v="1.375"/>
    <n v="4.4880000000000004"/>
    <n v="2.629"/>
    <n v="3.2229999999999999"/>
    <n v="0.60499999999999998"/>
    <x v="11"/>
  </r>
  <r>
    <x v="60"/>
    <x v="0"/>
    <n v="6.5"/>
    <n v="1"/>
    <n v="6.5"/>
    <x v="55"/>
    <n v="1.4950000000000001"/>
    <n v="4.3680000000000003"/>
    <n v="3.0550000000000002"/>
    <n v="3.8675000000000002"/>
    <n v="0.65"/>
    <x v="11"/>
  </r>
  <r>
    <x v="60"/>
    <x v="0"/>
    <n v="6"/>
    <n v="1"/>
    <n v="6"/>
    <x v="55"/>
    <n v="1.38"/>
    <n v="4.032"/>
    <n v="2.82"/>
    <n v="3.57"/>
    <n v="0.6"/>
    <x v="11"/>
  </r>
  <r>
    <x v="60"/>
    <x v="2"/>
    <n v="3"/>
    <n v="1"/>
    <n v="3"/>
    <x v="26"/>
    <n v="0.96"/>
    <n v="1.8839999999999999"/>
    <n v="1.41"/>
    <n v="1.8"/>
    <n v="0.24"/>
    <x v="11"/>
  </r>
  <r>
    <x v="60"/>
    <x v="3"/>
    <n v="6"/>
    <n v="1"/>
    <n v="6"/>
    <x v="6"/>
    <n v="1.56"/>
    <n v="4.3019999999999996"/>
    <n v="2.88"/>
    <n v="3.78"/>
    <n v="0"/>
    <x v="11"/>
  </r>
  <r>
    <x v="60"/>
    <x v="0"/>
    <n v="7"/>
    <n v="3"/>
    <n v="21"/>
    <x v="56"/>
    <n v="4.83"/>
    <n v="14.112"/>
    <n v="9.8699999999999992"/>
    <n v="12.494999999999999"/>
    <n v="2.1"/>
    <x v="11"/>
  </r>
  <r>
    <x v="60"/>
    <x v="2"/>
    <n v="6"/>
    <n v="1"/>
    <n v="6"/>
    <x v="44"/>
    <n v="1.92"/>
    <n v="3.7679999999999998"/>
    <n v="2.82"/>
    <n v="3.6"/>
    <n v="0.48"/>
    <x v="11"/>
  </r>
  <r>
    <x v="60"/>
    <x v="0"/>
    <n v="5"/>
    <n v="1"/>
    <n v="5"/>
    <x v="56"/>
    <n v="1.1499999999999999"/>
    <n v="3.36"/>
    <n v="2.35"/>
    <n v="2.9750000000000001"/>
    <n v="0.5"/>
    <x v="11"/>
  </r>
  <r>
    <x v="60"/>
    <x v="4"/>
    <n v="4"/>
    <n v="1"/>
    <n v="4"/>
    <x v="48"/>
    <n v="0.84"/>
    <n v="3.0920000000000001"/>
    <n v="1.96"/>
    <n v="2.64"/>
    <n v="0"/>
    <x v="11"/>
  </r>
  <r>
    <x v="60"/>
    <x v="0"/>
    <n v="7"/>
    <n v="5"/>
    <n v="35"/>
    <x v="36"/>
    <n v="8.0500000000000007"/>
    <n v="23.52"/>
    <n v="16.45"/>
    <n v="20.824999999999999"/>
    <n v="3.5"/>
    <x v="11"/>
  </r>
  <r>
    <x v="60"/>
    <x v="0"/>
    <n v="6"/>
    <n v="2"/>
    <n v="12"/>
    <x v="36"/>
    <n v="2.76"/>
    <n v="8.0640000000000001"/>
    <n v="5.64"/>
    <n v="7.14"/>
    <n v="1.2"/>
    <x v="11"/>
  </r>
  <r>
    <x v="60"/>
    <x v="2"/>
    <n v="4"/>
    <n v="1"/>
    <n v="4"/>
    <x v="44"/>
    <n v="1.28"/>
    <n v="2.512"/>
    <n v="1.88"/>
    <n v="2.4"/>
    <n v="0.32"/>
    <x v="11"/>
  </r>
  <r>
    <x v="61"/>
    <x v="2"/>
    <n v="8"/>
    <n v="2"/>
    <n v="16"/>
    <x v="57"/>
    <n v="5.12"/>
    <n v="10.048"/>
    <n v="7.52"/>
    <n v="9.6"/>
    <n v="1.28"/>
    <x v="11"/>
  </r>
  <r>
    <x v="61"/>
    <x v="2"/>
    <n v="4.5"/>
    <n v="1"/>
    <n v="4.5"/>
    <x v="58"/>
    <n v="1.44"/>
    <n v="2.8260000000000001"/>
    <n v="2.1150000000000002"/>
    <n v="2.7"/>
    <n v="0.36"/>
    <x v="11"/>
  </r>
  <r>
    <x v="62"/>
    <x v="1"/>
    <n v="7"/>
    <n v="2"/>
    <n v="14"/>
    <x v="48"/>
    <n v="3.5"/>
    <n v="11.423999999999999"/>
    <n v="6.6920000000000002"/>
    <n v="8.2040000000000006"/>
    <n v="1.54"/>
    <x v="11"/>
  </r>
  <r>
    <x v="62"/>
    <x v="1"/>
    <n v="6"/>
    <n v="1"/>
    <n v="6"/>
    <x v="48"/>
    <n v="1.5"/>
    <n v="4.8959999999999999"/>
    <n v="2.8679999999999999"/>
    <n v="3.516"/>
    <n v="0.66"/>
    <x v="11"/>
  </r>
  <r>
    <x v="63"/>
    <x v="0"/>
    <n v="7"/>
    <n v="11"/>
    <n v="77"/>
    <x v="59"/>
    <n v="17.71"/>
    <n v="51.744"/>
    <n v="36.19"/>
    <n v="45.814999999999998"/>
    <n v="7.7"/>
    <x v="11"/>
  </r>
  <r>
    <x v="63"/>
    <x v="1"/>
    <n v="5.5"/>
    <n v="1"/>
    <n v="5.5"/>
    <x v="48"/>
    <n v="1.375"/>
    <n v="4.4880000000000004"/>
    <n v="2.629"/>
    <n v="3.2229999999999999"/>
    <n v="0.60499999999999998"/>
    <x v="11"/>
  </r>
  <r>
    <x v="63"/>
    <x v="1"/>
    <n v="7"/>
    <n v="3"/>
    <n v="21"/>
    <x v="60"/>
    <n v="5.25"/>
    <n v="17.135999999999999"/>
    <n v="10.038"/>
    <n v="12.305999999999999"/>
    <n v="2.31"/>
    <x v="11"/>
  </r>
  <r>
    <x v="63"/>
    <x v="1"/>
    <n v="7"/>
    <n v="3"/>
    <n v="21"/>
    <x v="6"/>
    <n v="5.25"/>
    <n v="17.135999999999999"/>
    <n v="10.038"/>
    <n v="12.305999999999999"/>
    <n v="2.31"/>
    <x v="11"/>
  </r>
  <r>
    <x v="64"/>
    <x v="0"/>
    <n v="5.5"/>
    <n v="2"/>
    <n v="11"/>
    <x v="61"/>
    <n v="2.5299999999999998"/>
    <n v="7.3920000000000003"/>
    <n v="5.17"/>
    <n v="6.5449999999999999"/>
    <n v="1.1000000000000001"/>
    <x v="12"/>
  </r>
  <r>
    <x v="64"/>
    <x v="1"/>
    <n v="4.5"/>
    <n v="1"/>
    <n v="4.5"/>
    <x v="48"/>
    <n v="1.125"/>
    <n v="3.6720000000000002"/>
    <n v="2.1509999999999998"/>
    <n v="2.637"/>
    <n v="0.495"/>
    <x v="12"/>
  </r>
  <r>
    <x v="64"/>
    <x v="1"/>
    <n v="3"/>
    <n v="1"/>
    <n v="3"/>
    <x v="48"/>
    <n v="0.75"/>
    <n v="2.448"/>
    <n v="1.4339999999999999"/>
    <n v="1.758"/>
    <n v="0.33"/>
    <x v="12"/>
  </r>
  <r>
    <x v="64"/>
    <x v="1"/>
    <n v="5"/>
    <n v="2"/>
    <n v="10"/>
    <x v="6"/>
    <n v="2.5"/>
    <n v="8.16"/>
    <n v="4.78"/>
    <n v="5.86"/>
    <n v="1.1000000000000001"/>
    <x v="12"/>
  </r>
  <r>
    <x v="64"/>
    <x v="4"/>
    <n v="3"/>
    <n v="1"/>
    <n v="3"/>
    <x v="6"/>
    <n v="0.63"/>
    <n v="2.319"/>
    <n v="1.47"/>
    <n v="1.98"/>
    <n v="0"/>
    <x v="12"/>
  </r>
  <r>
    <x v="64"/>
    <x v="0"/>
    <n v="7"/>
    <n v="2"/>
    <n v="14"/>
    <x v="62"/>
    <n v="3.22"/>
    <n v="9.4079999999999995"/>
    <n v="6.58"/>
    <n v="8.33"/>
    <n v="1.4"/>
    <x v="12"/>
  </r>
  <r>
    <x v="65"/>
    <x v="0"/>
    <n v="7"/>
    <n v="4"/>
    <n v="28"/>
    <x v="63"/>
    <n v="6.44"/>
    <n v="18.815999999999999"/>
    <n v="13.16"/>
    <n v="16.66"/>
    <n v="2.8"/>
    <x v="12"/>
  </r>
  <r>
    <x v="65"/>
    <x v="0"/>
    <n v="7"/>
    <n v="1"/>
    <n v="7"/>
    <x v="63"/>
    <n v="1.61"/>
    <n v="4.7039999999999997"/>
    <n v="3.29"/>
    <n v="4.165"/>
    <n v="0.7"/>
    <x v="12"/>
  </r>
  <r>
    <x v="66"/>
    <x v="0"/>
    <n v="5"/>
    <n v="1"/>
    <n v="5"/>
    <x v="0"/>
    <n v="1.1499999999999999"/>
    <n v="3.36"/>
    <n v="2.35"/>
    <n v="2.9750000000000001"/>
    <n v="0.5"/>
    <x v="12"/>
  </r>
  <r>
    <x v="66"/>
    <x v="1"/>
    <n v="6"/>
    <n v="2"/>
    <n v="12"/>
    <x v="48"/>
    <n v="3"/>
    <n v="9.7919999999999998"/>
    <n v="5.7359999999999998"/>
    <n v="7.032"/>
    <n v="1.32"/>
    <x v="12"/>
  </r>
  <r>
    <x v="66"/>
    <x v="1"/>
    <n v="5"/>
    <n v="1"/>
    <n v="5"/>
    <x v="48"/>
    <n v="1.25"/>
    <n v="4.08"/>
    <n v="2.39"/>
    <n v="2.93"/>
    <n v="0.55000000000000004"/>
    <x v="12"/>
  </r>
  <r>
    <x v="66"/>
    <x v="3"/>
    <n v="5.5"/>
    <n v="2"/>
    <n v="11"/>
    <x v="6"/>
    <n v="2.86"/>
    <n v="7.8869999999999996"/>
    <n v="5.28"/>
    <n v="6.93"/>
    <n v="0"/>
    <x v="12"/>
  </r>
  <r>
    <x v="66"/>
    <x v="2"/>
    <n v="4"/>
    <n v="1"/>
    <n v="4"/>
    <x v="6"/>
    <n v="1.28"/>
    <n v="2.512"/>
    <n v="1.88"/>
    <n v="2.4"/>
    <n v="0.32"/>
    <x v="12"/>
  </r>
  <r>
    <x v="67"/>
    <x v="4"/>
    <n v="7"/>
    <n v="1"/>
    <n v="7"/>
    <x v="6"/>
    <n v="1.47"/>
    <n v="5.4109999999999996"/>
    <n v="3.43"/>
    <n v="4.62"/>
    <n v="0"/>
    <x v="12"/>
  </r>
  <r>
    <x v="67"/>
    <x v="1"/>
    <n v="7"/>
    <n v="2"/>
    <n v="14"/>
    <x v="6"/>
    <n v="3.5"/>
    <n v="11.423999999999999"/>
    <n v="6.6920000000000002"/>
    <n v="8.2040000000000006"/>
    <n v="1.54"/>
    <x v="12"/>
  </r>
  <r>
    <x v="67"/>
    <x v="2"/>
    <n v="5"/>
    <n v="1"/>
    <n v="5"/>
    <x v="26"/>
    <n v="1.6"/>
    <n v="3.14"/>
    <n v="2.35"/>
    <n v="3"/>
    <n v="0.4"/>
    <x v="12"/>
  </r>
  <r>
    <x v="67"/>
    <x v="1"/>
    <n v="5"/>
    <n v="1"/>
    <n v="5"/>
    <x v="48"/>
    <n v="1.25"/>
    <n v="4.08"/>
    <n v="2.39"/>
    <n v="2.93"/>
    <n v="0.55000000000000004"/>
    <x v="12"/>
  </r>
  <r>
    <x v="68"/>
    <x v="1"/>
    <n v="4"/>
    <n v="1"/>
    <n v="4"/>
    <x v="48"/>
    <n v="1"/>
    <n v="3.2639999999999998"/>
    <n v="1.9119999999999999"/>
    <n v="2.3439999999999999"/>
    <n v="0.44"/>
    <x v="12"/>
  </r>
  <r>
    <x v="68"/>
    <x v="5"/>
    <n v="7.5"/>
    <n v="5"/>
    <n v="37.5"/>
    <x v="64"/>
    <n v="9.9375"/>
    <n v="29.625"/>
    <n v="17.625"/>
    <n v="21.75"/>
    <n v="4.3125"/>
    <x v="12"/>
  </r>
  <r>
    <x v="69"/>
    <x v="1"/>
    <n v="3.25"/>
    <n v="1"/>
    <n v="3.25"/>
    <x v="48"/>
    <n v="0.8125"/>
    <n v="2.6520000000000001"/>
    <n v="1.5535000000000001"/>
    <n v="1.9045000000000001"/>
    <n v="0.35749999999999998"/>
    <x v="12"/>
  </r>
  <r>
    <x v="69"/>
    <x v="1"/>
    <n v="6"/>
    <n v="2"/>
    <n v="12"/>
    <x v="6"/>
    <n v="3"/>
    <n v="9.7919999999999998"/>
    <n v="5.7359999999999998"/>
    <n v="7.032"/>
    <n v="1.32"/>
    <x v="12"/>
  </r>
  <r>
    <x v="69"/>
    <x v="1"/>
    <n v="7"/>
    <n v="1"/>
    <n v="7"/>
    <x v="6"/>
    <n v="1.75"/>
    <n v="5.7119999999999997"/>
    <n v="3.3460000000000001"/>
    <n v="4.1020000000000003"/>
    <n v="0.77"/>
    <x v="12"/>
  </r>
  <r>
    <x v="69"/>
    <x v="4"/>
    <n v="7.5"/>
    <n v="1"/>
    <n v="7.5"/>
    <x v="6"/>
    <n v="1.575"/>
    <n v="5.7975000000000003"/>
    <n v="3.6749999999999998"/>
    <n v="4.95"/>
    <n v="0"/>
    <x v="12"/>
  </r>
  <r>
    <x v="69"/>
    <x v="0"/>
    <n v="7.5"/>
    <n v="2"/>
    <n v="15"/>
    <x v="20"/>
    <n v="3.45"/>
    <n v="10.08"/>
    <n v="7.05"/>
    <n v="8.9250000000000007"/>
    <n v="1.5"/>
    <x v="12"/>
  </r>
  <r>
    <x v="70"/>
    <x v="0"/>
    <n v="7"/>
    <n v="2"/>
    <n v="14"/>
    <x v="59"/>
    <n v="3.22"/>
    <n v="9.4079999999999995"/>
    <n v="6.58"/>
    <n v="8.33"/>
    <n v="1.4"/>
    <x v="13"/>
  </r>
  <r>
    <x v="71"/>
    <x v="2"/>
    <n v="3"/>
    <n v="1"/>
    <n v="3"/>
    <x v="65"/>
    <n v="0.96"/>
    <n v="1.8839999999999999"/>
    <n v="1.41"/>
    <n v="1.8"/>
    <n v="0.24"/>
    <x v="13"/>
  </r>
  <r>
    <x v="71"/>
    <x v="1"/>
    <n v="6"/>
    <n v="2"/>
    <n v="12"/>
    <x v="6"/>
    <n v="3"/>
    <n v="9.7919999999999998"/>
    <n v="5.7359999999999998"/>
    <n v="7.032"/>
    <n v="1.32"/>
    <x v="13"/>
  </r>
  <r>
    <x v="71"/>
    <x v="1"/>
    <n v="2"/>
    <n v="1"/>
    <n v="2"/>
    <x v="6"/>
    <n v="0.5"/>
    <n v="1.6319999999999999"/>
    <n v="0.95599999999999996"/>
    <n v="1.1719999999999999"/>
    <n v="0.22"/>
    <x v="13"/>
  </r>
  <r>
    <x v="72"/>
    <x v="0"/>
    <n v="5.5"/>
    <n v="1"/>
    <n v="5.5"/>
    <x v="66"/>
    <n v="1.2649999999999999"/>
    <n v="3.6960000000000002"/>
    <n v="2.585"/>
    <n v="3.2725"/>
    <n v="0.55000000000000004"/>
    <x v="13"/>
  </r>
  <r>
    <x v="72"/>
    <x v="0"/>
    <n v="6"/>
    <n v="3"/>
    <n v="18"/>
    <x v="66"/>
    <n v="4.1399999999999997"/>
    <n v="12.096"/>
    <n v="8.4600000000000009"/>
    <n v="10.71"/>
    <n v="1.8"/>
    <x v="13"/>
  </r>
  <r>
    <x v="72"/>
    <x v="0"/>
    <n v="7"/>
    <n v="5"/>
    <n v="35"/>
    <x v="66"/>
    <n v="8.0500000000000007"/>
    <n v="23.52"/>
    <n v="16.45"/>
    <n v="20.824999999999999"/>
    <n v="3.5"/>
    <x v="13"/>
  </r>
  <r>
    <x v="72"/>
    <x v="0"/>
    <n v="8"/>
    <n v="1"/>
    <n v="8"/>
    <x v="66"/>
    <n v="1.84"/>
    <n v="5.3760000000000003"/>
    <n v="3.76"/>
    <n v="4.76"/>
    <n v="0.8"/>
    <x v="13"/>
  </r>
  <r>
    <x v="72"/>
    <x v="3"/>
    <n v="6"/>
    <n v="1"/>
    <n v="6"/>
    <x v="43"/>
    <n v="1.56"/>
    <n v="4.3019999999999996"/>
    <n v="2.88"/>
    <n v="3.78"/>
    <n v="0"/>
    <x v="13"/>
  </r>
  <r>
    <x v="72"/>
    <x v="0"/>
    <n v="7"/>
    <n v="5"/>
    <n v="35"/>
    <x v="67"/>
    <n v="8.0500000000000007"/>
    <n v="23.52"/>
    <n v="16.45"/>
    <n v="20.824999999999999"/>
    <n v="3.5"/>
    <x v="13"/>
  </r>
  <r>
    <x v="72"/>
    <x v="0"/>
    <n v="1.5"/>
    <n v="1"/>
    <n v="1.5"/>
    <x v="67"/>
    <n v="0.34499999999999997"/>
    <n v="1.008"/>
    <n v="0.70499999999999996"/>
    <n v="0.89249999999999996"/>
    <n v="0.15"/>
    <x v="13"/>
  </r>
  <r>
    <x v="73"/>
    <x v="1"/>
    <n v="7"/>
    <n v="2"/>
    <n v="14"/>
    <x v="43"/>
    <n v="3.5"/>
    <n v="11.423999999999999"/>
    <n v="6.6920000000000002"/>
    <n v="8.2040000000000006"/>
    <n v="1.54"/>
    <x v="13"/>
  </r>
  <r>
    <x v="73"/>
    <x v="0"/>
    <n v="7"/>
    <n v="2"/>
    <n v="14"/>
    <x v="68"/>
    <n v="3.22"/>
    <n v="9.4079999999999995"/>
    <n v="6.58"/>
    <n v="8.33"/>
    <n v="1.4"/>
    <x v="13"/>
  </r>
  <r>
    <x v="73"/>
    <x v="0"/>
    <n v="6.5"/>
    <n v="1"/>
    <n v="6.5"/>
    <x v="68"/>
    <n v="1.4950000000000001"/>
    <n v="4.3680000000000003"/>
    <n v="3.0550000000000002"/>
    <n v="3.8675000000000002"/>
    <n v="0.65"/>
    <x v="13"/>
  </r>
  <r>
    <x v="73"/>
    <x v="2"/>
    <n v="6"/>
    <n v="1"/>
    <n v="6"/>
    <x v="69"/>
    <n v="1.92"/>
    <n v="3.7679999999999998"/>
    <n v="2.82"/>
    <n v="3.6"/>
    <n v="0.48"/>
    <x v="13"/>
  </r>
  <r>
    <x v="73"/>
    <x v="2"/>
    <n v="7"/>
    <n v="2"/>
    <n v="14"/>
    <x v="70"/>
    <n v="4.4800000000000004"/>
    <n v="8.7919999999999998"/>
    <n v="6.58"/>
    <n v="8.4"/>
    <n v="1.1200000000000001"/>
    <x v="13"/>
  </r>
  <r>
    <x v="73"/>
    <x v="2"/>
    <n v="6"/>
    <n v="1"/>
    <n v="6"/>
    <x v="70"/>
    <n v="1.92"/>
    <n v="3.7679999999999998"/>
    <n v="2.82"/>
    <n v="3.6"/>
    <n v="0.48"/>
    <x v="13"/>
  </r>
  <r>
    <x v="73"/>
    <x v="1"/>
    <n v="7"/>
    <n v="1"/>
    <n v="7"/>
    <x v="43"/>
    <n v="1.75"/>
    <n v="5.7119999999999997"/>
    <n v="3.3460000000000001"/>
    <n v="4.1020000000000003"/>
    <n v="0.77"/>
    <x v="13"/>
  </r>
  <r>
    <x v="73"/>
    <x v="1"/>
    <n v="6.5"/>
    <n v="1"/>
    <n v="6.5"/>
    <x v="43"/>
    <n v="1.625"/>
    <n v="5.3040000000000003"/>
    <n v="3.1070000000000002"/>
    <n v="3.8090000000000002"/>
    <n v="0.71499999999999997"/>
    <x v="13"/>
  </r>
  <r>
    <x v="73"/>
    <x v="1"/>
    <n v="6"/>
    <n v="1"/>
    <n v="6"/>
    <x v="6"/>
    <n v="1.5"/>
    <n v="4.8959999999999999"/>
    <n v="2.8679999999999999"/>
    <n v="3.516"/>
    <n v="0.66"/>
    <x v="13"/>
  </r>
  <r>
    <x v="73"/>
    <x v="1"/>
    <n v="5"/>
    <n v="1"/>
    <n v="5"/>
    <x v="6"/>
    <n v="1.25"/>
    <n v="4.08"/>
    <n v="2.39"/>
    <n v="2.93"/>
    <n v="0.55000000000000004"/>
    <x v="13"/>
  </r>
  <r>
    <x v="73"/>
    <x v="1"/>
    <n v="3"/>
    <n v="1"/>
    <n v="3"/>
    <x v="6"/>
    <n v="0.75"/>
    <n v="2.448"/>
    <n v="1.4339999999999999"/>
    <n v="1.758"/>
    <n v="0.33"/>
    <x v="13"/>
  </r>
  <r>
    <x v="73"/>
    <x v="0"/>
    <n v="4"/>
    <n v="1"/>
    <n v="4"/>
    <x v="71"/>
    <n v="0.92"/>
    <n v="2.6880000000000002"/>
    <n v="1.88"/>
    <n v="2.38"/>
    <n v="0.4"/>
    <x v="13"/>
  </r>
  <r>
    <x v="74"/>
    <x v="2"/>
    <n v="7"/>
    <n v="6"/>
    <n v="42"/>
    <x v="72"/>
    <n v="13.44"/>
    <n v="26.376000000000001"/>
    <n v="19.739999999999998"/>
    <n v="25.2"/>
    <n v="3.36"/>
    <x v="14"/>
  </r>
  <r>
    <x v="75"/>
    <x v="4"/>
    <n v="6"/>
    <n v="3"/>
    <n v="18"/>
    <x v="26"/>
    <n v="3.78"/>
    <n v="13.914"/>
    <n v="8.82"/>
    <n v="11.88"/>
    <n v="0"/>
    <x v="14"/>
  </r>
  <r>
    <x v="76"/>
    <x v="1"/>
    <n v="6.5"/>
    <n v="1"/>
    <n v="6.5"/>
    <x v="24"/>
    <n v="1.625"/>
    <n v="5.3040000000000003"/>
    <n v="3.1070000000000002"/>
    <n v="3.8090000000000002"/>
    <n v="0.71499999999999997"/>
    <x v="14"/>
  </r>
  <r>
    <x v="76"/>
    <x v="1"/>
    <n v="7"/>
    <n v="1"/>
    <n v="7"/>
    <x v="24"/>
    <n v="1.75"/>
    <n v="5.7119999999999997"/>
    <n v="3.3460000000000001"/>
    <n v="4.1020000000000003"/>
    <n v="0.77"/>
    <x v="14"/>
  </r>
  <r>
    <x v="76"/>
    <x v="2"/>
    <n v="7"/>
    <n v="1"/>
    <n v="7"/>
    <x v="7"/>
    <n v="2.2400000000000002"/>
    <n v="4.3959999999999999"/>
    <n v="3.29"/>
    <n v="4.2"/>
    <n v="0.56000000000000005"/>
    <x v="14"/>
  </r>
  <r>
    <x v="76"/>
    <x v="2"/>
    <n v="6"/>
    <n v="2"/>
    <n v="12"/>
    <x v="25"/>
    <n v="3.84"/>
    <n v="7.5359999999999996"/>
    <n v="5.64"/>
    <n v="7.2"/>
    <n v="0.96"/>
    <x v="14"/>
  </r>
  <r>
    <x v="77"/>
    <x v="4"/>
    <n v="7"/>
    <n v="1"/>
    <n v="7"/>
    <x v="73"/>
    <n v="1.47"/>
    <n v="5.4109999999999996"/>
    <n v="3.43"/>
    <n v="4.62"/>
    <n v="0"/>
    <x v="14"/>
  </r>
  <r>
    <x v="77"/>
    <x v="4"/>
    <n v="6"/>
    <n v="2"/>
    <n v="12"/>
    <x v="74"/>
    <n v="2.52"/>
    <n v="9.2759999999999998"/>
    <n v="5.88"/>
    <n v="7.92"/>
    <n v="0"/>
    <x v="14"/>
  </r>
  <r>
    <x v="77"/>
    <x v="4"/>
    <n v="7"/>
    <n v="3"/>
    <n v="21"/>
    <x v="74"/>
    <n v="4.41"/>
    <n v="16.233000000000001"/>
    <n v="10.29"/>
    <n v="13.86"/>
    <n v="0"/>
    <x v="14"/>
  </r>
  <r>
    <x v="78"/>
    <x v="1"/>
    <n v="6"/>
    <n v="14"/>
    <n v="84"/>
    <x v="74"/>
    <n v="21"/>
    <n v="68.543999999999997"/>
    <n v="40.152000000000001"/>
    <n v="49.223999999999997"/>
    <n v="9.24"/>
    <x v="14"/>
  </r>
  <r>
    <x v="78"/>
    <x v="4"/>
    <n v="7"/>
    <n v="2"/>
    <n v="14"/>
    <x v="74"/>
    <n v="2.94"/>
    <n v="10.821999999999999"/>
    <n v="6.86"/>
    <n v="9.24"/>
    <n v="0"/>
    <x v="14"/>
  </r>
  <r>
    <x v="78"/>
    <x v="4"/>
    <n v="6"/>
    <n v="1"/>
    <n v="6"/>
    <x v="74"/>
    <n v="1.26"/>
    <n v="4.6379999999999999"/>
    <n v="2.94"/>
    <n v="3.96"/>
    <n v="0"/>
    <x v="14"/>
  </r>
  <r>
    <x v="79"/>
    <x v="4"/>
    <n v="7"/>
    <n v="2"/>
    <n v="14"/>
    <x v="74"/>
    <n v="2.94"/>
    <n v="10.821999999999999"/>
    <n v="6.86"/>
    <n v="9.24"/>
    <n v="0"/>
    <x v="15"/>
  </r>
  <r>
    <x v="79"/>
    <x v="1"/>
    <n v="6"/>
    <n v="12"/>
    <n v="72"/>
    <x v="74"/>
    <n v="18"/>
    <n v="58.752000000000002"/>
    <n v="34.415999999999997"/>
    <n v="42.192"/>
    <n v="7.92"/>
    <x v="15"/>
  </r>
  <r>
    <x v="80"/>
    <x v="1"/>
    <n v="6"/>
    <n v="8"/>
    <n v="48"/>
    <x v="74"/>
    <n v="12"/>
    <n v="39.167999999999999"/>
    <n v="22.943999999999999"/>
    <n v="28.128"/>
    <n v="5.28"/>
    <x v="15"/>
  </r>
  <r>
    <x v="80"/>
    <x v="4"/>
    <n v="7"/>
    <n v="3"/>
    <n v="21"/>
    <x v="74"/>
    <n v="4.41"/>
    <n v="16.233000000000001"/>
    <n v="10.29"/>
    <n v="13.86"/>
    <n v="0"/>
    <x v="15"/>
  </r>
  <r>
    <x v="80"/>
    <x v="3"/>
    <n v="7"/>
    <n v="1"/>
    <n v="7"/>
    <x v="43"/>
    <n v="1.82"/>
    <n v="5.0190000000000001"/>
    <n v="3.36"/>
    <n v="4.41"/>
    <n v="0"/>
    <x v="15"/>
  </r>
  <r>
    <x v="80"/>
    <x v="3"/>
    <n v="6"/>
    <n v="1"/>
    <n v="6"/>
    <x v="43"/>
    <n v="1.56"/>
    <n v="4.3019999999999996"/>
    <n v="2.88"/>
    <n v="3.78"/>
    <n v="0"/>
    <x v="15"/>
  </r>
  <r>
    <x v="81"/>
    <x v="0"/>
    <n v="7"/>
    <n v="1"/>
    <n v="7"/>
    <x v="65"/>
    <n v="1.61"/>
    <n v="4.7039999999999997"/>
    <n v="3.29"/>
    <n v="4.165"/>
    <n v="0.7"/>
    <x v="15"/>
  </r>
  <r>
    <x v="81"/>
    <x v="0"/>
    <n v="7"/>
    <n v="6"/>
    <n v="42"/>
    <x v="1"/>
    <n v="9.66"/>
    <n v="28.224"/>
    <n v="19.739999999999998"/>
    <n v="24.99"/>
    <n v="4.2"/>
    <x v="15"/>
  </r>
  <r>
    <x v="81"/>
    <x v="0"/>
    <n v="6.5"/>
    <n v="1"/>
    <n v="6.5"/>
    <x v="1"/>
    <n v="1.4950000000000001"/>
    <n v="4.3680000000000003"/>
    <n v="3.0550000000000002"/>
    <n v="3.8675000000000002"/>
    <n v="0.65"/>
    <x v="15"/>
  </r>
  <r>
    <x v="81"/>
    <x v="0"/>
    <n v="5"/>
    <n v="1"/>
    <n v="5"/>
    <x v="65"/>
    <n v="1.1499999999999999"/>
    <n v="3.36"/>
    <n v="2.35"/>
    <n v="2.9750000000000001"/>
    <n v="0.5"/>
    <x v="15"/>
  </r>
  <r>
    <x v="81"/>
    <x v="1"/>
    <n v="6"/>
    <n v="11"/>
    <n v="66"/>
    <x v="74"/>
    <n v="16.5"/>
    <n v="53.856000000000002"/>
    <n v="31.547999999999998"/>
    <n v="38.676000000000002"/>
    <n v="7.26"/>
    <x v="15"/>
  </r>
  <r>
    <x v="81"/>
    <x v="1"/>
    <n v="7"/>
    <n v="2"/>
    <n v="14"/>
    <x v="43"/>
    <n v="3.5"/>
    <n v="11.423999999999999"/>
    <n v="6.6920000000000002"/>
    <n v="8.2040000000000006"/>
    <n v="1.54"/>
    <x v="15"/>
  </r>
  <r>
    <x v="81"/>
    <x v="3"/>
    <n v="6"/>
    <n v="2"/>
    <n v="12"/>
    <x v="43"/>
    <n v="3.12"/>
    <n v="8.6039999999999992"/>
    <n v="5.76"/>
    <n v="7.56"/>
    <n v="0"/>
    <x v="15"/>
  </r>
  <r>
    <x v="81"/>
    <x v="2"/>
    <n v="7"/>
    <n v="2"/>
    <n v="14"/>
    <x v="75"/>
    <n v="4.4800000000000004"/>
    <n v="8.7919999999999998"/>
    <n v="6.58"/>
    <n v="8.4"/>
    <n v="1.1200000000000001"/>
    <x v="15"/>
  </r>
  <r>
    <x v="82"/>
    <x v="1"/>
    <n v="7"/>
    <n v="1"/>
    <n v="7"/>
    <x v="74"/>
    <n v="1.75"/>
    <n v="5.7119999999999997"/>
    <n v="3.3460000000000001"/>
    <n v="4.1020000000000003"/>
    <n v="0.77"/>
    <x v="15"/>
  </r>
  <r>
    <x v="82"/>
    <x v="1"/>
    <n v="6"/>
    <n v="1"/>
    <n v="6"/>
    <x v="74"/>
    <n v="1.5"/>
    <n v="4.8959999999999999"/>
    <n v="2.8679999999999999"/>
    <n v="3.516"/>
    <n v="0.66"/>
    <x v="15"/>
  </r>
  <r>
    <x v="82"/>
    <x v="1"/>
    <n v="6"/>
    <n v="4"/>
    <n v="24"/>
    <x v="43"/>
    <n v="6"/>
    <n v="19.584"/>
    <n v="11.472"/>
    <n v="14.064"/>
    <n v="2.64"/>
    <x v="15"/>
  </r>
  <r>
    <x v="82"/>
    <x v="2"/>
    <n v="5"/>
    <n v="1"/>
    <n v="5"/>
    <x v="23"/>
    <n v="1.6"/>
    <n v="3.14"/>
    <n v="2.35"/>
    <n v="3"/>
    <n v="0.4"/>
    <x v="15"/>
  </r>
  <r>
    <x v="82"/>
    <x v="2"/>
    <n v="1.5"/>
    <n v="1"/>
    <n v="1.5"/>
    <x v="23"/>
    <n v="0.48"/>
    <n v="0.94199999999999995"/>
    <n v="0.70499999999999996"/>
    <n v="0.9"/>
    <n v="0.12"/>
    <x v="15"/>
  </r>
  <r>
    <x v="83"/>
    <x v="1"/>
    <n v="6"/>
    <n v="6"/>
    <n v="36"/>
    <x v="43"/>
    <n v="9"/>
    <n v="29.376000000000001"/>
    <n v="17.207999999999998"/>
    <n v="21.096"/>
    <n v="3.96"/>
    <x v="15"/>
  </r>
  <r>
    <x v="84"/>
    <x v="1"/>
    <n v="6"/>
    <n v="1"/>
    <n v="6"/>
    <x v="43"/>
    <n v="1.5"/>
    <n v="4.8959999999999999"/>
    <n v="2.8679999999999999"/>
    <n v="3.516"/>
    <n v="0.66"/>
    <x v="15"/>
  </r>
  <r>
    <x v="84"/>
    <x v="1"/>
    <n v="5"/>
    <n v="2"/>
    <n v="10"/>
    <x v="43"/>
    <n v="2.5"/>
    <n v="8.16"/>
    <n v="4.78"/>
    <n v="5.86"/>
    <n v="1.1000000000000001"/>
    <x v="15"/>
  </r>
  <r>
    <x v="84"/>
    <x v="0"/>
    <n v="7"/>
    <n v="2"/>
    <n v="14"/>
    <x v="74"/>
    <n v="3.22"/>
    <n v="9.4079999999999995"/>
    <n v="6.58"/>
    <n v="8.33"/>
    <n v="1.4"/>
    <x v="15"/>
  </r>
  <r>
    <x v="84"/>
    <x v="0"/>
    <n v="6"/>
    <n v="3"/>
    <n v="18"/>
    <x v="74"/>
    <n v="4.1399999999999997"/>
    <n v="12.096"/>
    <n v="8.4600000000000009"/>
    <n v="10.71"/>
    <n v="1.8"/>
    <x v="15"/>
  </r>
  <r>
    <x v="85"/>
    <x v="1"/>
    <n v="6"/>
    <n v="12"/>
    <n v="72"/>
    <x v="43"/>
    <n v="18"/>
    <n v="58.752000000000002"/>
    <n v="34.415999999999997"/>
    <n v="42.192"/>
    <n v="7.92"/>
    <x v="15"/>
  </r>
  <r>
    <x v="85"/>
    <x v="0"/>
    <n v="7"/>
    <n v="3"/>
    <n v="21"/>
    <x v="76"/>
    <n v="4.83"/>
    <n v="14.112"/>
    <n v="9.8699999999999992"/>
    <n v="12.494999999999999"/>
    <n v="2.1"/>
    <x v="15"/>
  </r>
  <r>
    <x v="85"/>
    <x v="0"/>
    <n v="4"/>
    <n v="1"/>
    <n v="4"/>
    <x v="76"/>
    <n v="0.92"/>
    <n v="2.6880000000000002"/>
    <n v="1.88"/>
    <n v="2.38"/>
    <n v="0.4"/>
    <x v="15"/>
  </r>
  <r>
    <x v="85"/>
    <x v="0"/>
    <n v="1"/>
    <n v="1"/>
    <n v="1"/>
    <x v="76"/>
    <n v="0.23"/>
    <n v="0.67200000000000004"/>
    <n v="0.47"/>
    <n v="0.59499999999999997"/>
    <n v="0.1"/>
    <x v="15"/>
  </r>
  <r>
    <x v="85"/>
    <x v="1"/>
    <n v="6"/>
    <n v="2"/>
    <n v="12"/>
    <x v="47"/>
    <n v="3"/>
    <n v="9.7919999999999998"/>
    <n v="5.7359999999999998"/>
    <n v="7.032"/>
    <n v="1.32"/>
    <x v="15"/>
  </r>
  <r>
    <x v="86"/>
    <x v="1"/>
    <n v="5"/>
    <n v="2"/>
    <n v="10"/>
    <x v="43"/>
    <n v="2.5"/>
    <n v="8.16"/>
    <n v="4.78"/>
    <n v="5.86"/>
    <n v="1.1000000000000001"/>
    <x v="16"/>
  </r>
  <r>
    <x v="86"/>
    <x v="1"/>
    <n v="6"/>
    <n v="3"/>
    <n v="18"/>
    <x v="43"/>
    <n v="4.5"/>
    <n v="14.688000000000001"/>
    <n v="8.6039999999999992"/>
    <n v="10.548"/>
    <n v="1.98"/>
    <x v="16"/>
  </r>
  <r>
    <x v="87"/>
    <x v="1"/>
    <n v="6"/>
    <n v="4"/>
    <n v="24"/>
    <x v="43"/>
    <n v="6"/>
    <n v="19.584"/>
    <n v="11.472"/>
    <n v="14.064"/>
    <n v="2.64"/>
    <x v="16"/>
  </r>
  <r>
    <x v="87"/>
    <x v="1"/>
    <n v="5.5"/>
    <n v="1"/>
    <n v="5.5"/>
    <x v="43"/>
    <n v="1.375"/>
    <n v="4.4880000000000004"/>
    <n v="2.629"/>
    <n v="3.2229999999999999"/>
    <n v="0.60499999999999998"/>
    <x v="16"/>
  </r>
  <r>
    <x v="87"/>
    <x v="0"/>
    <n v="7"/>
    <n v="5"/>
    <n v="35"/>
    <x v="30"/>
    <n v="8.0500000000000007"/>
    <n v="23.52"/>
    <n v="16.45"/>
    <n v="20.824999999999999"/>
    <n v="3.5"/>
    <x v="16"/>
  </r>
  <r>
    <x v="88"/>
    <x v="1"/>
    <n v="6"/>
    <n v="11"/>
    <n v="66"/>
    <x v="77"/>
    <n v="16.5"/>
    <n v="53.856000000000002"/>
    <n v="31.547999999999998"/>
    <n v="38.676000000000002"/>
    <n v="7.26"/>
    <x v="16"/>
  </r>
  <r>
    <x v="89"/>
    <x v="0"/>
    <n v="7"/>
    <n v="9"/>
    <n v="63"/>
    <x v="59"/>
    <n v="14.49"/>
    <n v="42.335999999999999"/>
    <n v="29.61"/>
    <n v="37.484999999999999"/>
    <n v="6.3"/>
    <x v="16"/>
  </r>
  <r>
    <x v="89"/>
    <x v="0"/>
    <n v="4"/>
    <n v="1"/>
    <n v="4"/>
    <x v="59"/>
    <n v="0.92"/>
    <n v="2.6880000000000002"/>
    <n v="1.88"/>
    <n v="2.38"/>
    <n v="0.4"/>
    <x v="16"/>
  </r>
  <r>
    <x v="89"/>
    <x v="0"/>
    <n v="6"/>
    <n v="1"/>
    <n v="6"/>
    <x v="59"/>
    <n v="1.38"/>
    <n v="4.032"/>
    <n v="2.82"/>
    <n v="3.57"/>
    <n v="0.6"/>
    <x v="16"/>
  </r>
  <r>
    <x v="89"/>
    <x v="0"/>
    <n v="4.75"/>
    <n v="1"/>
    <n v="4.75"/>
    <x v="59"/>
    <n v="1.0925"/>
    <n v="3.1920000000000002"/>
    <n v="2.2324999999999999"/>
    <n v="2.8262499999999999"/>
    <n v="0.47499999999999998"/>
    <x v="16"/>
  </r>
  <r>
    <x v="89"/>
    <x v="3"/>
    <n v="7"/>
    <n v="3"/>
    <n v="21"/>
    <x v="50"/>
    <n v="5.46"/>
    <n v="15.057"/>
    <n v="10.08"/>
    <n v="13.23"/>
    <n v="0"/>
    <x v="16"/>
  </r>
  <r>
    <x v="89"/>
    <x v="3"/>
    <n v="6"/>
    <n v="1"/>
    <n v="6"/>
    <x v="50"/>
    <n v="1.56"/>
    <n v="4.3019999999999996"/>
    <n v="2.88"/>
    <n v="3.78"/>
    <n v="0"/>
    <x v="16"/>
  </r>
  <r>
    <x v="90"/>
    <x v="1"/>
    <n v="7"/>
    <n v="9"/>
    <n v="63"/>
    <x v="77"/>
    <n v="15.75"/>
    <n v="51.408000000000001"/>
    <n v="30.114000000000001"/>
    <n v="36.917999999999999"/>
    <n v="6.93"/>
    <x v="16"/>
  </r>
  <r>
    <x v="90"/>
    <x v="1"/>
    <n v="4"/>
    <n v="2"/>
    <n v="8"/>
    <x v="77"/>
    <n v="2"/>
    <n v="6.5279999999999996"/>
    <n v="3.8239999999999998"/>
    <n v="4.6879999999999997"/>
    <n v="0.88"/>
    <x v="16"/>
  </r>
  <r>
    <x v="90"/>
    <x v="3"/>
    <n v="6"/>
    <n v="2"/>
    <n v="12"/>
    <x v="50"/>
    <n v="3.12"/>
    <n v="8.6039999999999992"/>
    <n v="5.76"/>
    <n v="7.56"/>
    <n v="0"/>
    <x v="16"/>
  </r>
  <r>
    <x v="90"/>
    <x v="3"/>
    <n v="3"/>
    <n v="1"/>
    <n v="3"/>
    <x v="50"/>
    <n v="0.78"/>
    <n v="2.1509999999999998"/>
    <n v="1.44"/>
    <n v="1.89"/>
    <n v="0"/>
    <x v="16"/>
  </r>
  <r>
    <x v="91"/>
    <x v="1"/>
    <n v="6"/>
    <n v="2"/>
    <n v="12"/>
    <x v="43"/>
    <n v="3"/>
    <n v="9.7919999999999998"/>
    <n v="5.7359999999999998"/>
    <n v="7.032"/>
    <n v="1.32"/>
    <x v="16"/>
  </r>
  <r>
    <x v="91"/>
    <x v="3"/>
    <n v="3"/>
    <n v="1"/>
    <n v="3"/>
    <x v="43"/>
    <n v="0.78"/>
    <n v="2.1509999999999998"/>
    <n v="1.44"/>
    <n v="1.89"/>
    <n v="0"/>
    <x v="16"/>
  </r>
  <r>
    <x v="91"/>
    <x v="2"/>
    <n v="7"/>
    <n v="3"/>
    <n v="21"/>
    <x v="41"/>
    <n v="6.72"/>
    <n v="13.188000000000001"/>
    <n v="9.8699999999999992"/>
    <n v="12.6"/>
    <n v="1.68"/>
    <x v="16"/>
  </r>
  <r>
    <x v="91"/>
    <x v="2"/>
    <n v="3.5"/>
    <n v="1"/>
    <n v="3.5"/>
    <x v="41"/>
    <n v="1.1200000000000001"/>
    <n v="2.198"/>
    <n v="1.645"/>
    <n v="2.1"/>
    <n v="0.28000000000000003"/>
    <x v="16"/>
  </r>
  <r>
    <x v="92"/>
    <x v="1"/>
    <n v="7"/>
    <n v="1"/>
    <n v="7"/>
    <x v="43"/>
    <n v="1.75"/>
    <n v="5.7119999999999997"/>
    <n v="3.3460000000000001"/>
    <n v="4.1020000000000003"/>
    <n v="0.77"/>
    <x v="17"/>
  </r>
  <r>
    <x v="93"/>
    <x v="1"/>
    <n v="7"/>
    <n v="2"/>
    <n v="14"/>
    <x v="78"/>
    <n v="3.5"/>
    <n v="11.423999999999999"/>
    <n v="6.6920000000000002"/>
    <n v="8.2040000000000006"/>
    <n v="1.54"/>
    <x v="17"/>
  </r>
  <r>
    <x v="93"/>
    <x v="1"/>
    <n v="6"/>
    <n v="14"/>
    <n v="84"/>
    <x v="77"/>
    <n v="21"/>
    <n v="68.543999999999997"/>
    <n v="40.152000000000001"/>
    <n v="49.223999999999997"/>
    <n v="9.24"/>
    <x v="17"/>
  </r>
  <r>
    <x v="93"/>
    <x v="0"/>
    <n v="7"/>
    <n v="2"/>
    <n v="14"/>
    <x v="79"/>
    <n v="3.22"/>
    <n v="9.4079999999999995"/>
    <n v="6.58"/>
    <n v="8.33"/>
    <n v="1.4"/>
    <x v="17"/>
  </r>
  <r>
    <x v="93"/>
    <x v="1"/>
    <n v="2.5"/>
    <n v="1"/>
    <n v="2.5"/>
    <x v="77"/>
    <n v="0.625"/>
    <n v="2.04"/>
    <n v="1.1950000000000001"/>
    <n v="1.4650000000000001"/>
    <n v="0.27500000000000002"/>
    <x v="17"/>
  </r>
  <r>
    <x v="93"/>
    <x v="4"/>
    <n v="3.5"/>
    <n v="1"/>
    <n v="3.5"/>
    <x v="43"/>
    <n v="0.73499999999999999"/>
    <n v="2.7054999999999998"/>
    <n v="1.7150000000000001"/>
    <n v="2.31"/>
    <n v="0"/>
    <x v="17"/>
  </r>
  <r>
    <x v="94"/>
    <x v="1"/>
    <n v="6"/>
    <n v="2"/>
    <n v="12"/>
    <x v="43"/>
    <n v="3"/>
    <n v="9.7919999999999998"/>
    <n v="5.7359999999999998"/>
    <n v="7.032"/>
    <n v="1.32"/>
    <x v="17"/>
  </r>
  <r>
    <x v="95"/>
    <x v="2"/>
    <n v="6"/>
    <n v="4"/>
    <n v="24"/>
    <x v="41"/>
    <n v="7.68"/>
    <n v="15.071999999999999"/>
    <n v="11.28"/>
    <n v="14.4"/>
    <n v="1.92"/>
    <x v="17"/>
  </r>
  <r>
    <x v="96"/>
    <x v="3"/>
    <n v="5"/>
    <n v="2"/>
    <n v="10"/>
    <x v="80"/>
    <n v="2.6"/>
    <n v="7.17"/>
    <n v="4.8"/>
    <n v="6.3"/>
    <n v="0"/>
    <x v="17"/>
  </r>
  <r>
    <x v="96"/>
    <x v="1"/>
    <n v="6"/>
    <n v="4"/>
    <n v="24"/>
    <x v="24"/>
    <n v="6"/>
    <n v="19.584"/>
    <n v="11.472"/>
    <n v="14.064"/>
    <n v="2.64"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Grr constructions"/>
    <n v="585.5"/>
    <x v="0"/>
  </r>
  <r>
    <s v="S.S.V Construction"/>
    <n v="446.5"/>
    <x v="0"/>
  </r>
  <r>
    <s v="shankar reddy"/>
    <n v="403"/>
    <x v="0"/>
  </r>
  <r>
    <s v="ravi"/>
    <n v="342.25"/>
    <x v="0"/>
  </r>
  <r>
    <s v="Arjun"/>
    <n v="247.5"/>
    <x v="0"/>
  </r>
  <r>
    <s v="shankariah"/>
    <n v="223.5"/>
    <x v="0"/>
  </r>
  <r>
    <s v="subba reddy"/>
    <n v="189"/>
    <x v="1"/>
  </r>
  <r>
    <s v="srinivas"/>
    <n v="187.5"/>
    <x v="1"/>
  </r>
  <r>
    <s v="vinodh"/>
    <n v="171.5"/>
    <x v="1"/>
  </r>
  <r>
    <s v="malli kumar"/>
    <n v="168.75"/>
    <x v="1"/>
  </r>
  <r>
    <s v="Manish Reddy"/>
    <n v="112"/>
    <x v="1"/>
  </r>
  <r>
    <s v="B somaiah"/>
    <n v="105"/>
    <x v="1"/>
  </r>
  <r>
    <s v="Navraj singh"/>
    <n v="94.5"/>
    <x v="1"/>
  </r>
  <r>
    <s v="niraj"/>
    <n v="74.5"/>
    <x v="1"/>
  </r>
  <r>
    <s v="kalyan"/>
    <n v="72"/>
    <x v="1"/>
  </r>
  <r>
    <s v="venu"/>
    <n v="68.5"/>
    <x v="2"/>
  </r>
  <r>
    <s v="Ramesh"/>
    <n v="68"/>
    <x v="2"/>
  </r>
  <r>
    <s v="hall mark"/>
    <n v="67"/>
    <x v="2"/>
  </r>
  <r>
    <s v="dharma reddy"/>
    <n v="66.5"/>
    <x v="2"/>
  </r>
  <r>
    <s v="venkatesh"/>
    <n v="66"/>
    <x v="2"/>
  </r>
  <r>
    <s v="Emany Constructions"/>
    <n v="63"/>
    <x v="2"/>
  </r>
  <r>
    <s v="Mallareddy"/>
    <n v="62"/>
    <x v="2"/>
  </r>
  <r>
    <s v="rohith reddy"/>
    <n v="57"/>
    <x v="2"/>
  </r>
  <r>
    <s v="validus Infra"/>
    <n v="56"/>
    <x v="2"/>
  </r>
  <r>
    <s v="Dr.raju"/>
    <n v="55.5"/>
    <x v="2"/>
  </r>
  <r>
    <s v="cmany"/>
    <n v="54.5"/>
    <x v="2"/>
  </r>
  <r>
    <s v="satish"/>
    <n v="52"/>
    <x v="2"/>
  </r>
  <r>
    <s v="sai balaji constructuions"/>
    <n v="50.5"/>
    <x v="2"/>
  </r>
  <r>
    <s v="Engineer associates"/>
    <n v="47.5"/>
    <x v="2"/>
  </r>
  <r>
    <s v="Bepi Ecil"/>
    <n v="47"/>
    <x v="2"/>
  </r>
  <r>
    <s v="Rahul"/>
    <n v="43"/>
    <x v="2"/>
  </r>
  <r>
    <s v="bharath"/>
    <n v="42"/>
    <x v="2"/>
  </r>
  <r>
    <s v="Csk construction"/>
    <n v="42"/>
    <x v="2"/>
  </r>
  <r>
    <s v="balaih"/>
    <n v="40"/>
    <x v="2"/>
  </r>
  <r>
    <s v="yadhagiri"/>
    <n v="38"/>
    <x v="2"/>
  </r>
  <r>
    <s v="sri lakshmi"/>
    <n v="37.5"/>
    <x v="2"/>
  </r>
  <r>
    <s v="sri panchami De"/>
    <n v="37"/>
    <x v="2"/>
  </r>
  <r>
    <s v="new land"/>
    <n v="36.5"/>
    <x v="2"/>
  </r>
  <r>
    <s v="sagar"/>
    <n v="35"/>
    <x v="2"/>
  </r>
  <r>
    <s v="Sidhula"/>
    <n v="35"/>
    <x v="2"/>
  </r>
  <r>
    <s v="mallesh"/>
    <n v="33"/>
    <x v="2"/>
  </r>
  <r>
    <s v="Mahesh"/>
    <n v="29"/>
    <x v="2"/>
  </r>
  <r>
    <s v="gopi"/>
    <n v="26"/>
    <x v="2"/>
  </r>
  <r>
    <s v="Surendar reddy"/>
    <n v="26"/>
    <x v="2"/>
  </r>
  <r>
    <s v="Akbar"/>
    <n v="21.5"/>
    <x v="2"/>
  </r>
  <r>
    <s v="riyaz"/>
    <n v="21"/>
    <x v="2"/>
  </r>
  <r>
    <s v="srauda"/>
    <n v="21"/>
    <x v="2"/>
  </r>
  <r>
    <s v="mohamad"/>
    <n v="20.5"/>
    <x v="2"/>
  </r>
  <r>
    <s v="madhavroa"/>
    <n v="20"/>
    <x v="2"/>
  </r>
  <r>
    <s v="joginath"/>
    <n v="19"/>
    <x v="2"/>
  </r>
  <r>
    <s v="shiva reddy"/>
    <n v="18.5"/>
    <x v="2"/>
  </r>
  <r>
    <s v="optus entrerprises"/>
    <n v="17.5"/>
    <x v="2"/>
  </r>
  <r>
    <s v="Bn reddy"/>
    <n v="16"/>
    <x v="2"/>
  </r>
  <r>
    <s v="mai sammat"/>
    <n v="16"/>
    <x v="2"/>
  </r>
  <r>
    <s v="ramu"/>
    <n v="15"/>
    <x v="2"/>
  </r>
  <r>
    <s v="B santhosh"/>
    <n v="14"/>
    <x v="2"/>
  </r>
  <r>
    <s v="kondaih"/>
    <n v="14"/>
    <x v="2"/>
  </r>
  <r>
    <s v="maha"/>
    <n v="14"/>
    <x v="2"/>
  </r>
  <r>
    <s v="nagarjuna"/>
    <n v="14"/>
    <x v="2"/>
  </r>
  <r>
    <s v="raju"/>
    <n v="14"/>
    <x v="2"/>
  </r>
  <r>
    <s v="L.S.R engineers"/>
    <n v="13"/>
    <x v="2"/>
  </r>
  <r>
    <s v="altanalt"/>
    <n v="12.5"/>
    <x v="2"/>
  </r>
  <r>
    <s v="Harika drugs"/>
    <n v="12.5"/>
    <x v="2"/>
  </r>
  <r>
    <s v="Balral"/>
    <n v="12"/>
    <x v="2"/>
  </r>
  <r>
    <s v="praveen"/>
    <n v="12"/>
    <x v="2"/>
  </r>
  <r>
    <s v="naiudu"/>
    <n v="11.5"/>
    <x v="2"/>
  </r>
  <r>
    <s v="suresh reddy"/>
    <n v="11"/>
    <x v="2"/>
  </r>
  <r>
    <s v="vikas"/>
    <n v="11"/>
    <x v="2"/>
  </r>
  <r>
    <s v="G M sir"/>
    <n v="10.5"/>
    <x v="2"/>
  </r>
  <r>
    <s v="ratan"/>
    <n v="10"/>
    <x v="2"/>
  </r>
  <r>
    <s v="Akshith"/>
    <n v="9"/>
    <x v="2"/>
  </r>
  <r>
    <s v="Harish"/>
    <n v="8.5"/>
    <x v="2"/>
  </r>
  <r>
    <s v="decimrastruct"/>
    <n v="7"/>
    <x v="2"/>
  </r>
  <r>
    <s v="madhu"/>
    <n v="7"/>
    <x v="2"/>
  </r>
  <r>
    <s v="mohan"/>
    <n v="7"/>
    <x v="2"/>
  </r>
  <r>
    <s v="sravan"/>
    <n v="7"/>
    <x v="2"/>
  </r>
  <r>
    <s v="kala"/>
    <n v="6"/>
    <x v="2"/>
  </r>
  <r>
    <s v="Bahadhur sing"/>
    <n v="5"/>
    <x v="2"/>
  </r>
  <r>
    <s v="Hm towers"/>
    <n v="4.5"/>
    <x v="2"/>
  </r>
  <r>
    <s v="buchi reddy"/>
    <n v="4"/>
    <x v="2"/>
  </r>
  <r>
    <s v="krishna"/>
    <n v="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6313"/>
    <d v="1899-12-30T04:26:00"/>
    <d v="1899-12-30T06:20:00"/>
    <s v="sridhar"/>
    <d v="1899-12-30T01:54:00"/>
    <n v="114"/>
    <x v="0"/>
    <x v="0"/>
  </r>
  <r>
    <n v="6590"/>
    <d v="1899-12-30T04:50:00"/>
    <d v="1899-12-30T07:30:00"/>
    <s v="ramrathi"/>
    <d v="1899-12-30T02:40:00"/>
    <n v="160"/>
    <x v="0"/>
    <x v="0"/>
  </r>
  <r>
    <n v="6316"/>
    <d v="1899-12-30T04:50:00"/>
    <d v="1899-12-30T07:20:00"/>
    <s v="ramulu"/>
    <d v="1899-12-30T02:30:00"/>
    <n v="150"/>
    <x v="0"/>
    <x v="0"/>
  </r>
  <r>
    <n v="6591"/>
    <d v="1899-12-30T05:00:00"/>
    <d v="1899-12-30T07:20:00"/>
    <s v="laxamareddy"/>
    <d v="1899-12-30T02:20:00"/>
    <n v="140"/>
    <x v="0"/>
    <x v="0"/>
  </r>
  <r>
    <n v="6892"/>
    <d v="1899-12-30T05:10:00"/>
    <d v="1899-12-30T08:00:00"/>
    <s v="ramshakal"/>
    <d v="1899-12-30T02:50:00"/>
    <n v="170"/>
    <x v="0"/>
    <x v="0"/>
  </r>
  <r>
    <n v="6315"/>
    <d v="1899-12-30T05:21:00"/>
    <d v="1899-12-30T07:35:00"/>
    <s v="J.p"/>
    <d v="1899-12-30T02:14:00"/>
    <n v="134"/>
    <x v="0"/>
    <x v="0"/>
  </r>
  <r>
    <n v="6313"/>
    <d v="1899-12-30T06:30:00"/>
    <d v="1899-12-30T09:00:00"/>
    <s v="sridhar"/>
    <d v="1899-12-30T02:30:00"/>
    <n v="150"/>
    <x v="0"/>
    <x v="0"/>
  </r>
  <r>
    <n v="6316"/>
    <d v="1899-12-30T07:00:00"/>
    <d v="1899-12-30T09:00:00"/>
    <s v="ramulu"/>
    <d v="1899-12-30T02:00:00"/>
    <n v="120"/>
    <x v="0"/>
    <x v="1"/>
  </r>
  <r>
    <n v="6591"/>
    <d v="1899-12-30T07:30:00"/>
    <d v="1899-12-30T11:40:00"/>
    <s v="laxamareddy"/>
    <d v="1899-12-30T04:10:00"/>
    <n v="250"/>
    <x v="0"/>
    <x v="1"/>
  </r>
  <r>
    <n v="6315"/>
    <d v="1899-12-30T07:35:00"/>
    <d v="1899-12-30T10:00:00"/>
    <s v="J.p"/>
    <d v="1899-12-30T02:25:00"/>
    <n v="145"/>
    <x v="0"/>
    <x v="1"/>
  </r>
  <r>
    <n v="6590"/>
    <d v="1899-12-30T07:45:00"/>
    <d v="1899-12-30T10:00:00"/>
    <s v="ramrathi"/>
    <d v="1899-12-30T02:15:00"/>
    <n v="135"/>
    <x v="0"/>
    <x v="1"/>
  </r>
  <r>
    <n v="6892"/>
    <d v="1899-12-30T08:00:00"/>
    <d v="1899-12-30T10:20:00"/>
    <s v="ramshakal"/>
    <d v="1899-12-30T02:20:00"/>
    <n v="140"/>
    <x v="0"/>
    <x v="1"/>
  </r>
  <r>
    <n v="6316"/>
    <d v="1899-12-30T09:00:00"/>
    <d v="1899-12-30T12:20:00"/>
    <s v="ramulu"/>
    <d v="1899-12-30T03:20:00"/>
    <n v="200"/>
    <x v="0"/>
    <x v="1"/>
  </r>
  <r>
    <n v="6313"/>
    <d v="1899-12-30T09:10:00"/>
    <d v="1899-12-30T12:30:00"/>
    <s v="sridhar"/>
    <d v="1899-12-30T03:20:00"/>
    <n v="200"/>
    <x v="0"/>
    <x v="1"/>
  </r>
  <r>
    <n v="6315"/>
    <d v="1899-12-30T10:00:00"/>
    <d v="1899-12-30T13:00:00"/>
    <s v="J.p"/>
    <d v="1899-12-30T03:00:00"/>
    <n v="180"/>
    <x v="0"/>
    <x v="1"/>
  </r>
  <r>
    <n v="6590"/>
    <d v="1899-12-30T10:20:00"/>
    <d v="1899-12-30T14:20:00"/>
    <s v="ramrathi"/>
    <d v="1899-12-30T04:00:00"/>
    <n v="240"/>
    <x v="0"/>
    <x v="1"/>
  </r>
  <r>
    <n v="6892"/>
    <d v="1899-12-30T10:35:00"/>
    <d v="1899-12-30T15:10:00"/>
    <s v="ramshakal"/>
    <d v="1899-12-30T04:35:00"/>
    <n v="275"/>
    <x v="0"/>
    <x v="1"/>
  </r>
  <r>
    <n v="6591"/>
    <d v="1899-12-30T11:00:00"/>
    <d v="1899-12-30T14:00:00"/>
    <s v="laxamareddy"/>
    <d v="1899-12-30T03:00:00"/>
    <n v="180"/>
    <x v="0"/>
    <x v="1"/>
  </r>
  <r>
    <n v="1476"/>
    <d v="1899-12-30T11:40:00"/>
    <d v="1899-12-30T15:00:00"/>
    <s v="ali"/>
    <d v="1899-12-30T03:20:00"/>
    <n v="200"/>
    <x v="0"/>
    <x v="1"/>
  </r>
  <r>
    <n v="529"/>
    <d v="1899-12-30T12:00:00"/>
    <d v="1899-12-30T15:20:00"/>
    <s v="usman"/>
    <d v="1899-12-30T03:20:00"/>
    <n v="200"/>
    <x v="0"/>
    <x v="2"/>
  </r>
  <r>
    <n v="6316"/>
    <d v="1899-12-30T12:30:00"/>
    <d v="1899-12-30T15:30:00"/>
    <s v="ramulu"/>
    <d v="1899-12-30T03:00:00"/>
    <n v="180"/>
    <x v="0"/>
    <x v="2"/>
  </r>
  <r>
    <n v="6313"/>
    <d v="1899-12-30T12:40:00"/>
    <d v="1899-12-30T15:40:00"/>
    <s v="sridhar"/>
    <d v="1899-12-30T03:00:00"/>
    <n v="180"/>
    <x v="0"/>
    <x v="2"/>
  </r>
  <r>
    <n v="6315"/>
    <d v="1899-12-30T13:20:00"/>
    <d v="1899-12-30T15:50:00"/>
    <s v="J.p"/>
    <d v="1899-12-30T02:30:00"/>
    <n v="150"/>
    <x v="0"/>
    <x v="2"/>
  </r>
  <r>
    <n v="6591"/>
    <d v="1899-12-30T14:00:00"/>
    <d v="1899-12-30T17:00:00"/>
    <s v="laxamareddy"/>
    <d v="1899-12-30T03:00:00"/>
    <n v="180"/>
    <x v="0"/>
    <x v="2"/>
  </r>
  <r>
    <n v="6590"/>
    <d v="1899-12-30T14:30:00"/>
    <d v="1899-12-30T16:50:00"/>
    <s v="ramrathi"/>
    <d v="1899-12-30T02:20:00"/>
    <n v="140"/>
    <x v="0"/>
    <x v="2"/>
  </r>
  <r>
    <n v="1476"/>
    <d v="1899-12-30T15:00:00"/>
    <d v="1899-12-30T16:55:00"/>
    <s v="ali"/>
    <d v="1899-12-30T01:55:00"/>
    <n v="115"/>
    <x v="0"/>
    <x v="2"/>
  </r>
  <r>
    <n v="6892"/>
    <d v="1899-12-30T15:10:00"/>
    <d v="1899-12-30T17:35:00"/>
    <s v="ramshakal"/>
    <d v="1899-12-30T02:25:00"/>
    <n v="145"/>
    <x v="0"/>
    <x v="2"/>
  </r>
  <r>
    <n v="529"/>
    <d v="1899-12-30T15:20:00"/>
    <d v="1899-12-30T17:30:00"/>
    <s v="usman"/>
    <d v="1899-12-30T02:10:00"/>
    <n v="130"/>
    <x v="0"/>
    <x v="2"/>
  </r>
  <r>
    <n v="6316"/>
    <d v="1899-12-30T15:30:00"/>
    <d v="1899-12-30T17:55:00"/>
    <s v="ramulu"/>
    <d v="1899-12-30T02:25:00"/>
    <n v="145"/>
    <x v="0"/>
    <x v="2"/>
  </r>
  <r>
    <n v="6313"/>
    <d v="1899-12-30T15:40:00"/>
    <d v="1899-12-30T18:00:00"/>
    <s v="sridhar"/>
    <d v="1899-12-30T02:20:00"/>
    <n v="140"/>
    <x v="0"/>
    <x v="2"/>
  </r>
  <r>
    <n v="6315"/>
    <d v="1899-12-30T15:50:00"/>
    <d v="1899-12-30T18:00:00"/>
    <s v="J.p"/>
    <d v="1899-12-30T02:10:00"/>
    <n v="130"/>
    <x v="0"/>
    <x v="2"/>
  </r>
  <r>
    <n v="6590"/>
    <d v="1899-12-30T16:50:00"/>
    <d v="1899-12-30T20:00:00"/>
    <s v="ramrathi"/>
    <d v="1899-12-30T03:10:00"/>
    <n v="190"/>
    <x v="0"/>
    <x v="2"/>
  </r>
  <r>
    <n v="1476"/>
    <d v="1899-12-30T16:55:00"/>
    <d v="1899-12-30T20:30:00"/>
    <s v="ali"/>
    <d v="1899-12-30T03:35:00"/>
    <n v="215"/>
    <x v="0"/>
    <x v="2"/>
  </r>
  <r>
    <n v="6591"/>
    <d v="1899-12-30T17:00:00"/>
    <d v="1899-12-30T20:25:00"/>
    <s v="laxamareddy"/>
    <d v="1899-12-30T03:25:00"/>
    <n v="205"/>
    <x v="0"/>
    <x v="3"/>
  </r>
  <r>
    <n v="6892"/>
    <d v="1899-12-30T17:35:00"/>
    <d v="1899-12-30T20:45:00"/>
    <s v="ramshakal"/>
    <d v="1899-12-30T03:10:00"/>
    <n v="190"/>
    <x v="0"/>
    <x v="3"/>
  </r>
  <r>
    <n v="6316"/>
    <d v="1899-12-30T17:55:00"/>
    <d v="1899-12-30T20:21:00"/>
    <s v="ramulu"/>
    <d v="1899-12-30T02:26:00"/>
    <n v="146"/>
    <x v="0"/>
    <x v="3"/>
  </r>
  <r>
    <n v="6313"/>
    <d v="1899-12-30T18:00:00"/>
    <d v="1899-12-30T21:00:00"/>
    <s v="sridhar"/>
    <d v="1899-12-30T03:00:00"/>
    <n v="180"/>
    <x v="0"/>
    <x v="3"/>
  </r>
  <r>
    <n v="6315"/>
    <d v="1899-12-30T21:00:00"/>
    <d v="1899-12-30T21:55:00"/>
    <s v="J.p"/>
    <d v="1899-12-30T00:55:00"/>
    <n v="55"/>
    <x v="0"/>
    <x v="4"/>
  </r>
  <r>
    <n v="6892"/>
    <d v="1899-12-30T07:30:00"/>
    <d v="1899-12-30T08:00:00"/>
    <s v="naresh"/>
    <d v="1899-12-30T00:30:00"/>
    <n v="30"/>
    <x v="1"/>
    <x v="1"/>
  </r>
  <r>
    <n v="6590"/>
    <d v="1899-12-30T07:35:00"/>
    <d v="1899-12-30T08:10:00"/>
    <s v="ramrathi"/>
    <d v="1899-12-30T00:35:00"/>
    <n v="35"/>
    <x v="1"/>
    <x v="1"/>
  </r>
  <r>
    <n v="6591"/>
    <d v="1899-12-30T07:40:00"/>
    <d v="1899-12-30T08:20:00"/>
    <s v="laxamareddy"/>
    <d v="1899-12-30T00:40:00"/>
    <n v="40"/>
    <x v="1"/>
    <x v="1"/>
  </r>
  <r>
    <n v="6315"/>
    <d v="1899-12-30T07:50:00"/>
    <d v="1899-12-30T08:40:00"/>
    <s v="J.p"/>
    <d v="1899-12-30T00:50:00"/>
    <n v="50"/>
    <x v="1"/>
    <x v="1"/>
  </r>
  <r>
    <n v="6313"/>
    <d v="1899-12-30T08:00:00"/>
    <d v="1899-12-30T08:45:00"/>
    <s v="ramshakal"/>
    <d v="1899-12-30T00:45:00"/>
    <n v="45"/>
    <x v="1"/>
    <x v="1"/>
  </r>
  <r>
    <n v="6892"/>
    <d v="1899-12-30T08:10:00"/>
    <d v="1899-12-30T08:50:00"/>
    <s v="naresh"/>
    <d v="1899-12-30T00:40:00"/>
    <n v="40"/>
    <x v="1"/>
    <x v="1"/>
  </r>
  <r>
    <n v="6590"/>
    <d v="1899-12-30T08:20:00"/>
    <d v="1899-12-30T09:10:00"/>
    <s v="ramrathi"/>
    <d v="1899-12-30T00:50:00"/>
    <n v="50"/>
    <x v="1"/>
    <x v="1"/>
  </r>
  <r>
    <n v="6591"/>
    <d v="1899-12-30T08:30:00"/>
    <d v="1899-12-30T09:10:00"/>
    <s v="laxamareddy"/>
    <d v="1899-12-30T00:40:00"/>
    <n v="40"/>
    <x v="1"/>
    <x v="1"/>
  </r>
  <r>
    <n v="6315"/>
    <d v="1899-12-30T08:59:00"/>
    <d v="1899-12-30T09:15:00"/>
    <s v="J.p"/>
    <d v="1899-12-30T00:16:00"/>
    <n v="16"/>
    <x v="1"/>
    <x v="1"/>
  </r>
  <r>
    <n v="6313"/>
    <d v="1899-12-30T09:10:00"/>
    <d v="1899-12-30T09:20:00"/>
    <s v="ramshakal"/>
    <d v="1899-12-30T00:10:00"/>
    <n v="10"/>
    <x v="1"/>
    <x v="1"/>
  </r>
  <r>
    <n v="6316"/>
    <d v="1899-12-30T09:20:00"/>
    <d v="1899-12-30T10:15:00"/>
    <s v="sridhar"/>
    <d v="1899-12-30T00:55:00"/>
    <n v="55"/>
    <x v="1"/>
    <x v="1"/>
  </r>
  <r>
    <n v="6892"/>
    <d v="1899-12-30T09:30:00"/>
    <d v="1899-12-30T10:20:00"/>
    <s v="naresh"/>
    <d v="1899-12-30T00:50:00"/>
    <n v="50"/>
    <x v="1"/>
    <x v="1"/>
  </r>
  <r>
    <n v="6590"/>
    <d v="1899-12-30T09:40:00"/>
    <d v="1899-12-30T10:30:00"/>
    <s v="ramrathi"/>
    <d v="1899-12-30T00:50:00"/>
    <n v="50"/>
    <x v="1"/>
    <x v="1"/>
  </r>
  <r>
    <n v="6591"/>
    <d v="1899-12-30T09:50:00"/>
    <d v="1899-12-30T10:40:00"/>
    <s v="laxamareddy"/>
    <d v="1899-12-30T00:50:00"/>
    <n v="50"/>
    <x v="1"/>
    <x v="1"/>
  </r>
  <r>
    <n v="6315"/>
    <d v="1899-12-30T10:00:00"/>
    <d v="1899-12-30T11:00:00"/>
    <s v="J.p"/>
    <d v="1899-12-30T01:00:00"/>
    <n v="60"/>
    <x v="1"/>
    <x v="1"/>
  </r>
  <r>
    <n v="6313"/>
    <d v="1899-12-30T10:10:00"/>
    <d v="1899-12-30T11:10:00"/>
    <s v="ramshakal"/>
    <d v="1899-12-30T01:00:00"/>
    <n v="6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653BB-974B-45FA-BEE8-8B806775846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J27" firstHeaderRow="1" firstDataRow="1" firstDataCol="1"/>
  <pivotFields count="14">
    <pivotField numFmtId="14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o of transit mixe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CFA35-FBFC-42E1-A6A4-EF59F3D132F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99" firstHeaderRow="0" firstDataRow="1" firstDataCol="1"/>
  <pivotFields count="14">
    <pivotField axis="axisRow" numFmtId="14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ement" fld="6" baseField="0" baseItem="0"/>
    <dataField name="Sum of sand" fld="7" baseField="0" baseItem="0"/>
    <dataField name="Sum of 20mm" fld="9" baseField="0" baseItem="0"/>
    <dataField name="Sum of 12mm" fld="8" baseField="0" baseItem="0"/>
    <dataField name="Sum of flyash" fld="10" baseField="0" baseItem="0"/>
    <dataField name="Sum of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1C959-825F-46D4-BF61-823AA05C80E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8" firstHeaderRow="1" firstDataRow="1" firstDataCol="1"/>
  <pivotFields count="3">
    <pivotField dataField="1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i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979A1-FBAE-40FE-8890-F00A0538EC1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:F11" firstHeaderRow="1" firstDataRow="1" firstDataCol="1"/>
  <pivotFields count="3">
    <pivotField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concrete 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6EDFD-0C15-4AF9-B344-FA94FF2CF207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31" firstHeaderRow="1" firstDataRow="1" firstDataCol="1" rowPageCount="1" colPageCount="1"/>
  <pivotFields count="8">
    <pivotField showAll="0"/>
    <pivotField numFmtId="20" showAll="0"/>
    <pivotField numFmtId="20" showAll="0"/>
    <pivotField showAll="0"/>
    <pivotField numFmtId="164" showAll="0"/>
    <pivotField dataField="1" showAll="0"/>
    <pivotField axis="axisPage" showAll="0">
      <items count="3">
        <item x="0"/>
        <item x="1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item="0" hier="-1"/>
  </pageFields>
  <dataFields count="1">
    <dataField name="Average of minutes" fld="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B12A8-593F-40A2-B596-1238D4FA61F8}" name="PivotTable1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4">
    <pivotField numFmtId="14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BCF1-9466-4580-BBE5-B628BCB21D8E}">
  <dimension ref="A1:L331"/>
  <sheetViews>
    <sheetView topLeftCell="B1" zoomScaleNormal="100" workbookViewId="0">
      <selection activeCell="O78" sqref="O78"/>
    </sheetView>
  </sheetViews>
  <sheetFormatPr defaultRowHeight="14.4" x14ac:dyDescent="0.3"/>
  <cols>
    <col min="1" max="1" width="10.33203125" bestFit="1" customWidth="1"/>
    <col min="3" max="3" width="12.88671875" style="3" customWidth="1"/>
    <col min="4" max="6" width="16.21875" style="3" customWidth="1"/>
  </cols>
  <sheetData>
    <row r="1" spans="1:12" ht="16.2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49</v>
      </c>
      <c r="F1" s="4" t="s">
        <v>80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38</v>
      </c>
    </row>
    <row r="2" spans="1:12" x14ac:dyDescent="0.3">
      <c r="A2" s="1">
        <v>45689</v>
      </c>
      <c r="B2" t="s">
        <v>3</v>
      </c>
      <c r="C2" s="3">
        <v>3.5</v>
      </c>
      <c r="D2" s="3">
        <v>1</v>
      </c>
      <c r="E2" s="3">
        <f>C2*D2</f>
        <v>3.5</v>
      </c>
      <c r="F2" s="3" t="s">
        <v>159</v>
      </c>
      <c r="G2">
        <f>VLOOKUP(B2,'Grade Formula'!$A$1:$F$7,2,FALSE)*C2*D2/1000</f>
        <v>0.80500000000000005</v>
      </c>
      <c r="H2">
        <f>VLOOKUP(B2,'Grade Formula'!$A$1:$F$7,4,FALSE)*C2*D2/1000</f>
        <v>2.3519999999999999</v>
      </c>
      <c r="I2">
        <f>VLOOKUP(B2,'Grade Formula'!$A$1:$F$7,6,FALSE)*C2*D2/1000</f>
        <v>1.645</v>
      </c>
      <c r="J2">
        <f>VLOOKUP(B2,'Grade Formula'!$A$1:$F$7,5,FALSE)*C2*D2/1000</f>
        <v>2.0825</v>
      </c>
      <c r="K2">
        <f>VLOOKUP(B2,'Grade Formula'!$A$1:$F$7,3,FALSE)*C2*D2/1000</f>
        <v>0.35</v>
      </c>
      <c r="L2">
        <f>WEEKNUM(A2)</f>
        <v>5</v>
      </c>
    </row>
    <row r="3" spans="1:12" x14ac:dyDescent="0.3">
      <c r="A3" s="1">
        <v>45689</v>
      </c>
      <c r="B3" t="s">
        <v>3</v>
      </c>
      <c r="C3" s="3">
        <v>2.5</v>
      </c>
      <c r="D3" s="3">
        <v>1</v>
      </c>
      <c r="E3" s="3">
        <f t="shared" ref="E3:E66" si="0">C3*D3</f>
        <v>2.5</v>
      </c>
      <c r="F3" s="3" t="s">
        <v>159</v>
      </c>
      <c r="G3">
        <f>VLOOKUP(B3,'Grade Formula'!$A$1:$F$7,2,FALSE)*C3*D3/1000</f>
        <v>0.57499999999999996</v>
      </c>
      <c r="H3">
        <f>VLOOKUP(B3,'Grade Formula'!$A$1:$F$7,4,FALSE)*C3*D3/1000</f>
        <v>1.68</v>
      </c>
      <c r="I3">
        <f>VLOOKUP(B3,'Grade Formula'!$A$1:$F$7,6,FALSE)*C3*D3/1000</f>
        <v>1.175</v>
      </c>
      <c r="J3">
        <f>VLOOKUP(B3,'Grade Formula'!$A$1:$F$7,5,FALSE)*C3*D3/1000</f>
        <v>1.4875</v>
      </c>
      <c r="K3">
        <f>VLOOKUP(B3,'Grade Formula'!$A$1:$F$7,3,FALSE)*C3*D3/1000</f>
        <v>0.25</v>
      </c>
      <c r="L3">
        <f t="shared" ref="L3:L66" si="1">WEEKNUM(A3)</f>
        <v>5</v>
      </c>
    </row>
    <row r="4" spans="1:12" x14ac:dyDescent="0.3">
      <c r="A4" s="1">
        <v>45690</v>
      </c>
      <c r="B4" t="s">
        <v>3</v>
      </c>
      <c r="C4" s="3">
        <v>7.25</v>
      </c>
      <c r="D4" s="3">
        <v>2</v>
      </c>
      <c r="E4" s="3">
        <f t="shared" si="0"/>
        <v>14.5</v>
      </c>
      <c r="F4" s="3" t="s">
        <v>99</v>
      </c>
      <c r="G4">
        <f>VLOOKUP(B4,'Grade Formula'!$A$1:$F$7,2,FALSE)*C4*D4/1000</f>
        <v>3.335</v>
      </c>
      <c r="H4">
        <f>VLOOKUP(B4,'Grade Formula'!$A$1:$F$7,4,FALSE)*C4*D4/1000</f>
        <v>9.7439999999999998</v>
      </c>
      <c r="I4">
        <f>VLOOKUP(B4,'Grade Formula'!$A$1:$F$7,6,FALSE)*C4*D4/1000</f>
        <v>6.8150000000000004</v>
      </c>
      <c r="J4">
        <f>VLOOKUP(B4,'Grade Formula'!$A$1:$F$7,5,FALSE)*C4*D4/1000</f>
        <v>8.6274999999999995</v>
      </c>
      <c r="K4">
        <f>VLOOKUP(B4,'Grade Formula'!$A$1:$F$7,3,FALSE)*C4*D4/1000</f>
        <v>1.45</v>
      </c>
      <c r="L4">
        <f t="shared" si="1"/>
        <v>6</v>
      </c>
    </row>
    <row r="5" spans="1:12" x14ac:dyDescent="0.3">
      <c r="A5" s="1">
        <v>45692</v>
      </c>
      <c r="B5" t="s">
        <v>4</v>
      </c>
      <c r="C5" s="3">
        <v>5.5</v>
      </c>
      <c r="D5" s="3">
        <v>1</v>
      </c>
      <c r="E5" s="3">
        <f t="shared" si="0"/>
        <v>5.5</v>
      </c>
      <c r="F5" s="3" t="s">
        <v>101</v>
      </c>
      <c r="G5">
        <f>VLOOKUP(B5,'Grade Formula'!$A$1:$F$7,2,FALSE)*C5*D5/1000</f>
        <v>1.375</v>
      </c>
      <c r="H5">
        <f>VLOOKUP(B5,'Grade Formula'!$A$1:$F$7,4,FALSE)*C5*D5/1000</f>
        <v>4.4880000000000004</v>
      </c>
      <c r="I5">
        <f>VLOOKUP(B5,'Grade Formula'!$A$1:$F$7,6,FALSE)*C5*D5/1000</f>
        <v>2.629</v>
      </c>
      <c r="J5">
        <f>VLOOKUP(B5,'Grade Formula'!$A$1:$F$7,5,FALSE)*C5*D5/1000</f>
        <v>3.2229999999999999</v>
      </c>
      <c r="K5">
        <f>VLOOKUP(B5,'Grade Formula'!$A$1:$F$7,3,FALSE)*C5*D5/1000</f>
        <v>0.60499999999999998</v>
      </c>
      <c r="L5">
        <f t="shared" si="1"/>
        <v>6</v>
      </c>
    </row>
    <row r="6" spans="1:12" x14ac:dyDescent="0.3">
      <c r="A6" s="1">
        <v>45692</v>
      </c>
      <c r="B6" t="s">
        <v>4</v>
      </c>
      <c r="C6" s="3">
        <v>5</v>
      </c>
      <c r="D6" s="3">
        <v>1</v>
      </c>
      <c r="E6" s="3">
        <f t="shared" si="0"/>
        <v>5</v>
      </c>
      <c r="F6" s="3" t="s">
        <v>101</v>
      </c>
      <c r="G6">
        <f>VLOOKUP(B6,'Grade Formula'!$A$1:$F$7,2,FALSE)*C6*D6/1000</f>
        <v>1.25</v>
      </c>
      <c r="H6">
        <f>VLOOKUP(B6,'Grade Formula'!$A$1:$F$7,4,FALSE)*C6*D6/1000</f>
        <v>4.08</v>
      </c>
      <c r="I6">
        <f>VLOOKUP(B6,'Grade Formula'!$A$1:$F$7,6,FALSE)*C6*D6/1000</f>
        <v>2.39</v>
      </c>
      <c r="J6">
        <f>VLOOKUP(B6,'Grade Formula'!$A$1:$F$7,5,FALSE)*C6*D6/1000</f>
        <v>2.93</v>
      </c>
      <c r="K6">
        <f>VLOOKUP(B6,'Grade Formula'!$A$1:$F$7,3,FALSE)*C6*D6/1000</f>
        <v>0.55000000000000004</v>
      </c>
      <c r="L6">
        <f t="shared" si="1"/>
        <v>6</v>
      </c>
    </row>
    <row r="7" spans="1:12" x14ac:dyDescent="0.3">
      <c r="A7" s="1">
        <v>45692</v>
      </c>
      <c r="B7" t="s">
        <v>5</v>
      </c>
      <c r="C7" s="3">
        <v>7</v>
      </c>
      <c r="D7" s="3">
        <v>5</v>
      </c>
      <c r="E7" s="3">
        <f t="shared" si="0"/>
        <v>35</v>
      </c>
      <c r="F7" s="3" t="s">
        <v>122</v>
      </c>
      <c r="G7">
        <f>VLOOKUP(B7,'Grade Formula'!$A$1:$F$7,2,FALSE)*C7*D7/1000</f>
        <v>11.2</v>
      </c>
      <c r="H7">
        <f>VLOOKUP(B7,'Grade Formula'!$A$1:$F$7,4,FALSE)*C7*D7/1000</f>
        <v>21.98</v>
      </c>
      <c r="I7">
        <f>VLOOKUP(B7,'Grade Formula'!$A$1:$F$7,6,FALSE)*C7*D7/1000</f>
        <v>16.45</v>
      </c>
      <c r="J7">
        <f>VLOOKUP(B7,'Grade Formula'!$A$1:$F$7,5,FALSE)*C7*D7/1000</f>
        <v>21</v>
      </c>
      <c r="K7">
        <f>VLOOKUP(B7,'Grade Formula'!$A$1:$F$7,3,FALSE)*C7*D7/1000</f>
        <v>2.8</v>
      </c>
      <c r="L7">
        <f t="shared" si="1"/>
        <v>6</v>
      </c>
    </row>
    <row r="8" spans="1:12" x14ac:dyDescent="0.3">
      <c r="A8" s="1">
        <v>45692</v>
      </c>
      <c r="B8" t="s">
        <v>5</v>
      </c>
      <c r="C8" s="3">
        <v>3</v>
      </c>
      <c r="D8" s="3">
        <v>1</v>
      </c>
      <c r="E8" s="3">
        <f t="shared" si="0"/>
        <v>3</v>
      </c>
      <c r="F8" s="3" t="s">
        <v>122</v>
      </c>
      <c r="G8">
        <f>VLOOKUP(B8,'Grade Formula'!$A$1:$F$7,2,FALSE)*C8*D8/1000</f>
        <v>0.96</v>
      </c>
      <c r="H8">
        <f>VLOOKUP(B8,'Grade Formula'!$A$1:$F$7,4,FALSE)*C8*D8/1000</f>
        <v>1.8839999999999999</v>
      </c>
      <c r="I8">
        <f>VLOOKUP(B8,'Grade Formula'!$A$1:$F$7,6,FALSE)*C8*D8/1000</f>
        <v>1.41</v>
      </c>
      <c r="J8">
        <f>VLOOKUP(B8,'Grade Formula'!$A$1:$F$7,5,FALSE)*C8*D8/1000</f>
        <v>1.8</v>
      </c>
      <c r="K8">
        <f>VLOOKUP(B8,'Grade Formula'!$A$1:$F$7,3,FALSE)*C8*D8/1000</f>
        <v>0.24</v>
      </c>
      <c r="L8">
        <f t="shared" si="1"/>
        <v>6</v>
      </c>
    </row>
    <row r="9" spans="1:12" x14ac:dyDescent="0.3">
      <c r="A9" s="1">
        <v>45693</v>
      </c>
      <c r="B9" t="s">
        <v>5</v>
      </c>
      <c r="C9" s="3">
        <v>7</v>
      </c>
      <c r="D9" s="3">
        <v>5</v>
      </c>
      <c r="E9" s="3">
        <f t="shared" si="0"/>
        <v>35</v>
      </c>
      <c r="F9" s="3" t="s">
        <v>161</v>
      </c>
      <c r="G9">
        <f>VLOOKUP(B9,'Grade Formula'!$A$1:$F$7,2,FALSE)*C9*D9/1000</f>
        <v>11.2</v>
      </c>
      <c r="H9">
        <f>VLOOKUP(B9,'Grade Formula'!$A$1:$F$7,4,FALSE)*C9*D9/1000</f>
        <v>21.98</v>
      </c>
      <c r="I9">
        <f>VLOOKUP(B9,'Grade Formula'!$A$1:$F$7,6,FALSE)*C9*D9/1000</f>
        <v>16.45</v>
      </c>
      <c r="J9">
        <f>VLOOKUP(B9,'Grade Formula'!$A$1:$F$7,5,FALSE)*C9*D9/1000</f>
        <v>21</v>
      </c>
      <c r="K9">
        <f>VLOOKUP(B9,'Grade Formula'!$A$1:$F$7,3,FALSE)*C9*D9/1000</f>
        <v>2.8</v>
      </c>
      <c r="L9">
        <f t="shared" si="1"/>
        <v>6</v>
      </c>
    </row>
    <row r="10" spans="1:12" x14ac:dyDescent="0.3">
      <c r="A10" s="1">
        <v>45693</v>
      </c>
      <c r="B10" t="s">
        <v>4</v>
      </c>
      <c r="C10" s="3">
        <v>3</v>
      </c>
      <c r="D10" s="3">
        <v>1</v>
      </c>
      <c r="E10" s="3">
        <f t="shared" si="0"/>
        <v>3</v>
      </c>
      <c r="F10" s="3" t="s">
        <v>161</v>
      </c>
      <c r="G10">
        <f>VLOOKUP(B10,'Grade Formula'!$A$1:$F$7,2,FALSE)*C10*D10/1000</f>
        <v>0.75</v>
      </c>
      <c r="H10">
        <f>VLOOKUP(B10,'Grade Formula'!$A$1:$F$7,4,FALSE)*C10*D10/1000</f>
        <v>2.448</v>
      </c>
      <c r="I10">
        <f>VLOOKUP(B10,'Grade Formula'!$A$1:$F$7,6,FALSE)*C10*D10/1000</f>
        <v>1.4339999999999999</v>
      </c>
      <c r="J10">
        <f>VLOOKUP(B10,'Grade Formula'!$A$1:$F$7,5,FALSE)*C10*D10/1000</f>
        <v>1.758</v>
      </c>
      <c r="K10">
        <f>VLOOKUP(B10,'Grade Formula'!$A$1:$F$7,3,FALSE)*C10*D10/1000</f>
        <v>0.33</v>
      </c>
      <c r="L10">
        <f t="shared" si="1"/>
        <v>6</v>
      </c>
    </row>
    <row r="11" spans="1:12" x14ac:dyDescent="0.3">
      <c r="A11" s="1">
        <v>45693</v>
      </c>
      <c r="B11" t="s">
        <v>5</v>
      </c>
      <c r="C11" s="3">
        <v>7</v>
      </c>
      <c r="D11" s="3">
        <v>5</v>
      </c>
      <c r="E11" s="3">
        <f t="shared" si="0"/>
        <v>35</v>
      </c>
      <c r="F11" s="3" t="s">
        <v>147</v>
      </c>
      <c r="G11">
        <f>VLOOKUP(B11,'Grade Formula'!$A$1:$F$7,2,FALSE)*C11*D11/1000</f>
        <v>11.2</v>
      </c>
      <c r="H11">
        <f>VLOOKUP(B11,'Grade Formula'!$A$1:$F$7,4,FALSE)*C11*D11/1000</f>
        <v>21.98</v>
      </c>
      <c r="I11">
        <f>VLOOKUP(B11,'Grade Formula'!$A$1:$F$7,6,FALSE)*C11*D11/1000</f>
        <v>16.45</v>
      </c>
      <c r="J11">
        <f>VLOOKUP(B11,'Grade Formula'!$A$1:$F$7,5,FALSE)*C11*D11/1000</f>
        <v>21</v>
      </c>
      <c r="K11">
        <f>VLOOKUP(B11,'Grade Formula'!$A$1:$F$7,3,FALSE)*C11*D11/1000</f>
        <v>2.8</v>
      </c>
      <c r="L11">
        <f t="shared" si="1"/>
        <v>6</v>
      </c>
    </row>
    <row r="12" spans="1:12" x14ac:dyDescent="0.3">
      <c r="A12" s="1">
        <v>45693</v>
      </c>
      <c r="B12" t="s">
        <v>6</v>
      </c>
      <c r="C12" s="3">
        <v>6</v>
      </c>
      <c r="D12" s="3">
        <v>1</v>
      </c>
      <c r="E12" s="3">
        <f t="shared" si="0"/>
        <v>6</v>
      </c>
      <c r="F12" s="3" t="s">
        <v>140</v>
      </c>
      <c r="G12">
        <f>VLOOKUP(B12,'Grade Formula'!$A$1:$F$7,2,FALSE)*C12*D12/1000</f>
        <v>1.56</v>
      </c>
      <c r="H12">
        <f>VLOOKUP(B12,'Grade Formula'!$A$1:$F$7,4,FALSE)*C12*D12/1000</f>
        <v>4.3019999999999996</v>
      </c>
      <c r="I12">
        <f>VLOOKUP(B12,'Grade Formula'!$A$1:$F$7,6,FALSE)*C12*D12/1000</f>
        <v>2.88</v>
      </c>
      <c r="J12">
        <f>VLOOKUP(B12,'Grade Formula'!$A$1:$F$7,5,FALSE)*C12*D12/1000</f>
        <v>3.78</v>
      </c>
      <c r="K12">
        <f>VLOOKUP(B12,'Grade Formula'!$A$1:$F$7,3,FALSE)*C12*D12/1000</f>
        <v>0</v>
      </c>
      <c r="L12">
        <f t="shared" si="1"/>
        <v>6</v>
      </c>
    </row>
    <row r="13" spans="1:12" x14ac:dyDescent="0.3">
      <c r="A13" s="1">
        <v>45696</v>
      </c>
      <c r="B13" t="s">
        <v>5</v>
      </c>
      <c r="C13" s="3">
        <v>7</v>
      </c>
      <c r="D13" s="3">
        <v>2</v>
      </c>
      <c r="E13" s="3">
        <f t="shared" si="0"/>
        <v>14</v>
      </c>
      <c r="F13" s="3" t="s">
        <v>127</v>
      </c>
      <c r="G13">
        <f>VLOOKUP(B13,'Grade Formula'!$A$1:$F$7,2,FALSE)*C13*D13/1000</f>
        <v>4.4800000000000004</v>
      </c>
      <c r="H13">
        <f>VLOOKUP(B13,'Grade Formula'!$A$1:$F$7,4,FALSE)*C13*D13/1000</f>
        <v>8.7919999999999998</v>
      </c>
      <c r="I13">
        <f>VLOOKUP(B13,'Grade Formula'!$A$1:$F$7,6,FALSE)*C13*D13/1000</f>
        <v>6.58</v>
      </c>
      <c r="J13">
        <f>VLOOKUP(B13,'Grade Formula'!$A$1:$F$7,5,FALSE)*C13*D13/1000</f>
        <v>8.4</v>
      </c>
      <c r="K13">
        <f>VLOOKUP(B13,'Grade Formula'!$A$1:$F$7,3,FALSE)*C13*D13/1000</f>
        <v>1.1200000000000001</v>
      </c>
      <c r="L13">
        <f t="shared" si="1"/>
        <v>6</v>
      </c>
    </row>
    <row r="14" spans="1:12" x14ac:dyDescent="0.3">
      <c r="A14" s="1">
        <v>45696</v>
      </c>
      <c r="B14" t="s">
        <v>5</v>
      </c>
      <c r="C14" s="3">
        <v>3</v>
      </c>
      <c r="D14" s="3">
        <v>1</v>
      </c>
      <c r="E14" s="3">
        <f t="shared" si="0"/>
        <v>3</v>
      </c>
      <c r="F14" s="3" t="s">
        <v>127</v>
      </c>
      <c r="G14">
        <f>VLOOKUP(B14,'Grade Formula'!$A$1:$F$7,2,FALSE)*C14*D14/1000</f>
        <v>0.96</v>
      </c>
      <c r="H14">
        <f>VLOOKUP(B14,'Grade Formula'!$A$1:$F$7,4,FALSE)*C14*D14/1000</f>
        <v>1.8839999999999999</v>
      </c>
      <c r="I14">
        <f>VLOOKUP(B14,'Grade Formula'!$A$1:$F$7,6,FALSE)*C14*D14/1000</f>
        <v>1.41</v>
      </c>
      <c r="J14">
        <f>VLOOKUP(B14,'Grade Formula'!$A$1:$F$7,5,FALSE)*C14*D14/1000</f>
        <v>1.8</v>
      </c>
      <c r="K14">
        <f>VLOOKUP(B14,'Grade Formula'!$A$1:$F$7,3,FALSE)*C14*D14/1000</f>
        <v>0.24</v>
      </c>
      <c r="L14">
        <f t="shared" si="1"/>
        <v>6</v>
      </c>
    </row>
    <row r="15" spans="1:12" x14ac:dyDescent="0.3">
      <c r="A15" s="1">
        <v>45696</v>
      </c>
      <c r="B15" t="s">
        <v>5</v>
      </c>
      <c r="C15" s="3">
        <v>7</v>
      </c>
      <c r="D15" s="3">
        <v>6</v>
      </c>
      <c r="E15" s="3">
        <f t="shared" si="0"/>
        <v>42</v>
      </c>
      <c r="F15" s="3" t="s">
        <v>90</v>
      </c>
      <c r="G15">
        <f>VLOOKUP(B15,'Grade Formula'!$A$1:$F$7,2,FALSE)*C15*D15/1000</f>
        <v>13.44</v>
      </c>
      <c r="H15">
        <f>VLOOKUP(B15,'Grade Formula'!$A$1:$F$7,4,FALSE)*C15*D15/1000</f>
        <v>26.376000000000001</v>
      </c>
      <c r="I15">
        <f>VLOOKUP(B15,'Grade Formula'!$A$1:$F$7,6,FALSE)*C15*D15/1000</f>
        <v>19.739999999999998</v>
      </c>
      <c r="J15">
        <f>VLOOKUP(B15,'Grade Formula'!$A$1:$F$7,5,FALSE)*C15*D15/1000</f>
        <v>25.2</v>
      </c>
      <c r="K15">
        <f>VLOOKUP(B15,'Grade Formula'!$A$1:$F$7,3,FALSE)*C15*D15/1000</f>
        <v>3.36</v>
      </c>
      <c r="L15">
        <f t="shared" si="1"/>
        <v>6</v>
      </c>
    </row>
    <row r="16" spans="1:12" x14ac:dyDescent="0.3">
      <c r="A16" s="1">
        <v>45696</v>
      </c>
      <c r="B16" t="s">
        <v>5</v>
      </c>
      <c r="C16" s="3">
        <v>4</v>
      </c>
      <c r="D16" s="3">
        <v>1</v>
      </c>
      <c r="E16" s="3">
        <f t="shared" si="0"/>
        <v>4</v>
      </c>
      <c r="F16" s="3" t="s">
        <v>90</v>
      </c>
      <c r="G16">
        <f>VLOOKUP(B16,'Grade Formula'!$A$1:$F$7,2,FALSE)*C16*D16/1000</f>
        <v>1.28</v>
      </c>
      <c r="H16">
        <f>VLOOKUP(B16,'Grade Formula'!$A$1:$F$7,4,FALSE)*C16*D16/1000</f>
        <v>2.512</v>
      </c>
      <c r="I16">
        <f>VLOOKUP(B16,'Grade Formula'!$A$1:$F$7,6,FALSE)*C16*D16/1000</f>
        <v>1.88</v>
      </c>
      <c r="J16">
        <f>VLOOKUP(B16,'Grade Formula'!$A$1:$F$7,5,FALSE)*C16*D16/1000</f>
        <v>2.4</v>
      </c>
      <c r="K16">
        <f>VLOOKUP(B16,'Grade Formula'!$A$1:$F$7,3,FALSE)*C16*D16/1000</f>
        <v>0.32</v>
      </c>
      <c r="L16">
        <f t="shared" si="1"/>
        <v>6</v>
      </c>
    </row>
    <row r="17" spans="1:12" x14ac:dyDescent="0.3">
      <c r="A17" s="1">
        <v>45696</v>
      </c>
      <c r="B17" t="s">
        <v>5</v>
      </c>
      <c r="C17" s="3">
        <v>1</v>
      </c>
      <c r="D17" s="3">
        <v>1</v>
      </c>
      <c r="E17" s="3">
        <f t="shared" si="0"/>
        <v>1</v>
      </c>
      <c r="F17" s="3" t="s">
        <v>90</v>
      </c>
      <c r="G17">
        <f>VLOOKUP(B17,'Grade Formula'!$A$1:$F$7,2,FALSE)*C17*D17/1000</f>
        <v>0.32</v>
      </c>
      <c r="H17">
        <f>VLOOKUP(B17,'Grade Formula'!$A$1:$F$7,4,FALSE)*C17*D17/1000</f>
        <v>0.628</v>
      </c>
      <c r="I17">
        <f>VLOOKUP(B17,'Grade Formula'!$A$1:$F$7,6,FALSE)*C17*D17/1000</f>
        <v>0.47</v>
      </c>
      <c r="J17">
        <f>VLOOKUP(B17,'Grade Formula'!$A$1:$F$7,5,FALSE)*C17*D17/1000</f>
        <v>0.6</v>
      </c>
      <c r="K17">
        <f>VLOOKUP(B17,'Grade Formula'!$A$1:$F$7,3,FALSE)*C17*D17/1000</f>
        <v>0.08</v>
      </c>
      <c r="L17">
        <f t="shared" si="1"/>
        <v>6</v>
      </c>
    </row>
    <row r="18" spans="1:12" x14ac:dyDescent="0.3">
      <c r="A18" s="1">
        <v>45696</v>
      </c>
      <c r="B18" t="s">
        <v>7</v>
      </c>
      <c r="C18" s="3">
        <v>7</v>
      </c>
      <c r="D18" s="3">
        <v>3</v>
      </c>
      <c r="E18" s="3">
        <f t="shared" si="0"/>
        <v>21</v>
      </c>
      <c r="F18" s="3" t="s">
        <v>160</v>
      </c>
      <c r="G18">
        <f>VLOOKUP(B18,'Grade Formula'!$A$1:$F$7,2,FALSE)*C18*D18/1000</f>
        <v>4.41</v>
      </c>
      <c r="H18">
        <f>VLOOKUP(B18,'Grade Formula'!$A$1:$F$7,4,FALSE)*C18*D18/1000</f>
        <v>16.233000000000001</v>
      </c>
      <c r="I18">
        <f>VLOOKUP(B18,'Grade Formula'!$A$1:$F$7,6,FALSE)*C18*D18/1000</f>
        <v>10.29</v>
      </c>
      <c r="J18">
        <f>VLOOKUP(B18,'Grade Formula'!$A$1:$F$7,5,FALSE)*C18*D18/1000</f>
        <v>13.86</v>
      </c>
      <c r="K18">
        <f>VLOOKUP(B18,'Grade Formula'!$A$1:$F$7,3,FALSE)*C18*D18/1000</f>
        <v>0</v>
      </c>
      <c r="L18">
        <f t="shared" si="1"/>
        <v>6</v>
      </c>
    </row>
    <row r="19" spans="1:12" x14ac:dyDescent="0.3">
      <c r="A19" s="1">
        <v>45696</v>
      </c>
      <c r="B19" t="s">
        <v>4</v>
      </c>
      <c r="C19" s="3">
        <v>7</v>
      </c>
      <c r="D19" s="3">
        <v>1</v>
      </c>
      <c r="E19" s="3">
        <f t="shared" si="0"/>
        <v>7</v>
      </c>
      <c r="F19" s="3" t="s">
        <v>140</v>
      </c>
      <c r="G19">
        <f>VLOOKUP(B19,'Grade Formula'!$A$1:$F$7,2,FALSE)*C19*D19/1000</f>
        <v>1.75</v>
      </c>
      <c r="H19">
        <f>VLOOKUP(B19,'Grade Formula'!$A$1:$F$7,4,FALSE)*C19*D19/1000</f>
        <v>5.7119999999999997</v>
      </c>
      <c r="I19">
        <f>VLOOKUP(B19,'Grade Formula'!$A$1:$F$7,6,FALSE)*C19*D19/1000</f>
        <v>3.3460000000000001</v>
      </c>
      <c r="J19">
        <f>VLOOKUP(B19,'Grade Formula'!$A$1:$F$7,5,FALSE)*C19*D19/1000</f>
        <v>4.1020000000000003</v>
      </c>
      <c r="K19">
        <f>VLOOKUP(B19,'Grade Formula'!$A$1:$F$7,3,FALSE)*C19*D19/1000</f>
        <v>0.77</v>
      </c>
      <c r="L19">
        <f t="shared" si="1"/>
        <v>6</v>
      </c>
    </row>
    <row r="20" spans="1:12" x14ac:dyDescent="0.3">
      <c r="A20" s="1">
        <v>45697</v>
      </c>
      <c r="B20" t="s">
        <v>7</v>
      </c>
      <c r="C20" s="3">
        <v>7</v>
      </c>
      <c r="D20" s="3">
        <v>1</v>
      </c>
      <c r="E20" s="3">
        <f t="shared" si="0"/>
        <v>7</v>
      </c>
      <c r="F20" s="3" t="s">
        <v>160</v>
      </c>
      <c r="G20">
        <f>VLOOKUP(B20,'Grade Formula'!$A$1:$F$7,2,FALSE)*C20*D20/1000</f>
        <v>1.47</v>
      </c>
      <c r="H20">
        <f>VLOOKUP(B20,'Grade Formula'!$A$1:$F$7,4,FALSE)*C20*D20/1000</f>
        <v>5.4109999999999996</v>
      </c>
      <c r="I20">
        <f>VLOOKUP(B20,'Grade Formula'!$A$1:$F$7,6,FALSE)*C20*D20/1000</f>
        <v>3.43</v>
      </c>
      <c r="J20">
        <f>VLOOKUP(B20,'Grade Formula'!$A$1:$F$7,5,FALSE)*C20*D20/1000</f>
        <v>4.62</v>
      </c>
      <c r="K20">
        <f>VLOOKUP(B20,'Grade Formula'!$A$1:$F$7,3,FALSE)*C20*D20/1000</f>
        <v>0</v>
      </c>
      <c r="L20">
        <f t="shared" si="1"/>
        <v>7</v>
      </c>
    </row>
    <row r="21" spans="1:12" x14ac:dyDescent="0.3">
      <c r="A21" s="1">
        <v>45697</v>
      </c>
      <c r="B21" t="s">
        <v>4</v>
      </c>
      <c r="C21" s="3">
        <v>7</v>
      </c>
      <c r="D21" s="3">
        <v>1</v>
      </c>
      <c r="E21" s="3">
        <f t="shared" si="0"/>
        <v>7</v>
      </c>
      <c r="F21" s="3" t="s">
        <v>140</v>
      </c>
      <c r="G21">
        <f>VLOOKUP(B21,'Grade Formula'!$A$1:$F$7,2,FALSE)*C21*D21/1000</f>
        <v>1.75</v>
      </c>
      <c r="H21">
        <f>VLOOKUP(B21,'Grade Formula'!$A$1:$F$7,4,FALSE)*C21*D21/1000</f>
        <v>5.7119999999999997</v>
      </c>
      <c r="I21">
        <f>VLOOKUP(B21,'Grade Formula'!$A$1:$F$7,6,FALSE)*C21*D21/1000</f>
        <v>3.3460000000000001</v>
      </c>
      <c r="J21">
        <f>VLOOKUP(B21,'Grade Formula'!$A$1:$F$7,5,FALSE)*C21*D21/1000</f>
        <v>4.1020000000000003</v>
      </c>
      <c r="K21">
        <f>VLOOKUP(B21,'Grade Formula'!$A$1:$F$7,3,FALSE)*C21*D21/1000</f>
        <v>0.77</v>
      </c>
      <c r="L21">
        <f t="shared" si="1"/>
        <v>7</v>
      </c>
    </row>
    <row r="22" spans="1:12" x14ac:dyDescent="0.3">
      <c r="A22" s="1">
        <v>45697</v>
      </c>
      <c r="B22" t="s">
        <v>5</v>
      </c>
      <c r="C22" s="3">
        <v>5</v>
      </c>
      <c r="D22" s="3">
        <v>1</v>
      </c>
      <c r="E22" s="3">
        <f t="shared" si="0"/>
        <v>5</v>
      </c>
      <c r="F22" s="3" t="s">
        <v>87</v>
      </c>
      <c r="G22">
        <f>VLOOKUP(B22,'Grade Formula'!$A$1:$F$7,2,FALSE)*C22*D22/1000</f>
        <v>1.6</v>
      </c>
      <c r="H22">
        <f>VLOOKUP(B22,'Grade Formula'!$A$1:$F$7,4,FALSE)*C22*D22/1000</f>
        <v>3.14</v>
      </c>
      <c r="I22">
        <f>VLOOKUP(B22,'Grade Formula'!$A$1:$F$7,6,FALSE)*C22*D22/1000</f>
        <v>2.35</v>
      </c>
      <c r="J22">
        <f>VLOOKUP(B22,'Grade Formula'!$A$1:$F$7,5,FALSE)*C22*D22/1000</f>
        <v>3</v>
      </c>
      <c r="K22">
        <f>VLOOKUP(B22,'Grade Formula'!$A$1:$F$7,3,FALSE)*C22*D22/1000</f>
        <v>0.4</v>
      </c>
      <c r="L22">
        <f t="shared" si="1"/>
        <v>7</v>
      </c>
    </row>
    <row r="23" spans="1:12" x14ac:dyDescent="0.3">
      <c r="A23" s="1">
        <v>45697</v>
      </c>
      <c r="B23" t="s">
        <v>5</v>
      </c>
      <c r="C23" s="3">
        <v>4.5</v>
      </c>
      <c r="D23" s="3">
        <v>1</v>
      </c>
      <c r="E23" s="3">
        <f t="shared" si="0"/>
        <v>4.5</v>
      </c>
      <c r="F23" s="3" t="s">
        <v>127</v>
      </c>
      <c r="G23">
        <f>VLOOKUP(B23,'Grade Formula'!$A$1:$F$7,2,FALSE)*C23*D23/1000</f>
        <v>1.44</v>
      </c>
      <c r="H23">
        <f>VLOOKUP(B23,'Grade Formula'!$A$1:$F$7,4,FALSE)*C23*D23/1000</f>
        <v>2.8260000000000001</v>
      </c>
      <c r="I23">
        <f>VLOOKUP(B23,'Grade Formula'!$A$1:$F$7,6,FALSE)*C23*D23/1000</f>
        <v>2.1150000000000002</v>
      </c>
      <c r="J23">
        <f>VLOOKUP(B23,'Grade Formula'!$A$1:$F$7,5,FALSE)*C23*D23/1000</f>
        <v>2.7</v>
      </c>
      <c r="K23">
        <f>VLOOKUP(B23,'Grade Formula'!$A$1:$F$7,3,FALSE)*C23*D23/1000</f>
        <v>0.36</v>
      </c>
      <c r="L23">
        <f t="shared" si="1"/>
        <v>7</v>
      </c>
    </row>
    <row r="24" spans="1:12" x14ac:dyDescent="0.3">
      <c r="A24" s="1">
        <v>45697</v>
      </c>
      <c r="B24" t="s">
        <v>5</v>
      </c>
      <c r="C24" s="3">
        <v>7</v>
      </c>
      <c r="D24" s="3">
        <v>5</v>
      </c>
      <c r="E24" s="3">
        <f t="shared" si="0"/>
        <v>35</v>
      </c>
      <c r="F24" s="3" t="s">
        <v>151</v>
      </c>
      <c r="G24">
        <f>VLOOKUP(B24,'Grade Formula'!$A$1:$F$7,2,FALSE)*C24*D24/1000</f>
        <v>11.2</v>
      </c>
      <c r="H24">
        <f>VLOOKUP(B24,'Grade Formula'!$A$1:$F$7,4,FALSE)*C24*D24/1000</f>
        <v>21.98</v>
      </c>
      <c r="I24">
        <f>VLOOKUP(B24,'Grade Formula'!$A$1:$F$7,6,FALSE)*C24*D24/1000</f>
        <v>16.45</v>
      </c>
      <c r="J24">
        <f>VLOOKUP(B24,'Grade Formula'!$A$1:$F$7,5,FALSE)*C24*D24/1000</f>
        <v>21</v>
      </c>
      <c r="K24">
        <f>VLOOKUP(B24,'Grade Formula'!$A$1:$F$7,3,FALSE)*C24*D24/1000</f>
        <v>2.8</v>
      </c>
      <c r="L24">
        <f t="shared" si="1"/>
        <v>7</v>
      </c>
    </row>
    <row r="25" spans="1:12" x14ac:dyDescent="0.3">
      <c r="A25" s="1">
        <v>45697</v>
      </c>
      <c r="B25" t="s">
        <v>5</v>
      </c>
      <c r="C25" s="3">
        <v>2</v>
      </c>
      <c r="D25" s="3">
        <v>1</v>
      </c>
      <c r="E25" s="3">
        <f t="shared" si="0"/>
        <v>2</v>
      </c>
      <c r="F25" s="3" t="s">
        <v>151</v>
      </c>
      <c r="G25">
        <f>VLOOKUP(B25,'Grade Formula'!$A$1:$F$7,2,FALSE)*C25*D25/1000</f>
        <v>0.64</v>
      </c>
      <c r="H25">
        <f>VLOOKUP(B25,'Grade Formula'!$A$1:$F$7,4,FALSE)*C25*D25/1000</f>
        <v>1.256</v>
      </c>
      <c r="I25">
        <f>VLOOKUP(B25,'Grade Formula'!$A$1:$F$7,6,FALSE)*C25*D25/1000</f>
        <v>0.94</v>
      </c>
      <c r="J25">
        <f>VLOOKUP(B25,'Grade Formula'!$A$1:$F$7,5,FALSE)*C25*D25/1000</f>
        <v>1.2</v>
      </c>
      <c r="K25">
        <f>VLOOKUP(B25,'Grade Formula'!$A$1:$F$7,3,FALSE)*C25*D25/1000</f>
        <v>0.16</v>
      </c>
      <c r="L25">
        <f t="shared" si="1"/>
        <v>7</v>
      </c>
    </row>
    <row r="26" spans="1:12" x14ac:dyDescent="0.3">
      <c r="A26" s="1">
        <v>45697</v>
      </c>
      <c r="B26" t="s">
        <v>5</v>
      </c>
      <c r="C26" s="3">
        <v>6.5</v>
      </c>
      <c r="D26" s="3">
        <v>2</v>
      </c>
      <c r="E26" s="3">
        <f t="shared" si="0"/>
        <v>13</v>
      </c>
      <c r="F26" s="3" t="s">
        <v>117</v>
      </c>
      <c r="G26">
        <f>VLOOKUP(B26,'Grade Formula'!$A$1:$F$7,2,FALSE)*C26*D26/1000</f>
        <v>4.16</v>
      </c>
      <c r="H26">
        <f>VLOOKUP(B26,'Grade Formula'!$A$1:$F$7,4,FALSE)*C26*D26/1000</f>
        <v>8.1639999999999997</v>
      </c>
      <c r="I26">
        <f>VLOOKUP(B26,'Grade Formula'!$A$1:$F$7,6,FALSE)*C26*D26/1000</f>
        <v>6.11</v>
      </c>
      <c r="J26">
        <f>VLOOKUP(B26,'Grade Formula'!$A$1:$F$7,5,FALSE)*C26*D26/1000</f>
        <v>7.8</v>
      </c>
      <c r="K26">
        <f>VLOOKUP(B26,'Grade Formula'!$A$1:$F$7,3,FALSE)*C26*D26/1000</f>
        <v>1.04</v>
      </c>
      <c r="L26">
        <f t="shared" si="1"/>
        <v>7</v>
      </c>
    </row>
    <row r="27" spans="1:12" x14ac:dyDescent="0.3">
      <c r="A27" s="1">
        <v>45697</v>
      </c>
      <c r="B27" t="s">
        <v>4</v>
      </c>
      <c r="C27" s="3">
        <v>7</v>
      </c>
      <c r="D27" s="3">
        <v>1</v>
      </c>
      <c r="E27" s="3">
        <f t="shared" si="0"/>
        <v>7</v>
      </c>
      <c r="F27" s="3" t="s">
        <v>140</v>
      </c>
      <c r="G27">
        <f>VLOOKUP(B27,'Grade Formula'!$A$1:$F$7,2,FALSE)*C27*D27/1000</f>
        <v>1.75</v>
      </c>
      <c r="H27">
        <f>VLOOKUP(B27,'Grade Formula'!$A$1:$F$7,4,FALSE)*C27*D27/1000</f>
        <v>5.7119999999999997</v>
      </c>
      <c r="I27">
        <f>VLOOKUP(B27,'Grade Formula'!$A$1:$F$7,6,FALSE)*C27*D27/1000</f>
        <v>3.3460000000000001</v>
      </c>
      <c r="J27">
        <f>VLOOKUP(B27,'Grade Formula'!$A$1:$F$7,5,FALSE)*C27*D27/1000</f>
        <v>4.1020000000000003</v>
      </c>
      <c r="K27">
        <f>VLOOKUP(B27,'Grade Formula'!$A$1:$F$7,3,FALSE)*C27*D27/1000</f>
        <v>0.77</v>
      </c>
      <c r="L27">
        <f t="shared" si="1"/>
        <v>7</v>
      </c>
    </row>
    <row r="28" spans="1:12" x14ac:dyDescent="0.3">
      <c r="A28" s="1">
        <v>45698</v>
      </c>
      <c r="B28" t="s">
        <v>3</v>
      </c>
      <c r="C28" s="3">
        <v>6</v>
      </c>
      <c r="D28" s="3">
        <v>1</v>
      </c>
      <c r="E28" s="3">
        <f t="shared" si="0"/>
        <v>6</v>
      </c>
      <c r="F28" s="3" t="s">
        <v>82</v>
      </c>
      <c r="G28">
        <f>VLOOKUP(B28,'Grade Formula'!$A$1:$F$7,2,FALSE)*C28*D28/1000</f>
        <v>1.38</v>
      </c>
      <c r="H28">
        <f>VLOOKUP(B28,'Grade Formula'!$A$1:$F$7,4,FALSE)*C28*D28/1000</f>
        <v>4.032</v>
      </c>
      <c r="I28">
        <f>VLOOKUP(B28,'Grade Formula'!$A$1:$F$7,6,FALSE)*C28*D28/1000</f>
        <v>2.82</v>
      </c>
      <c r="J28">
        <f>VLOOKUP(B28,'Grade Formula'!$A$1:$F$7,5,FALSE)*C28*D28/1000</f>
        <v>3.57</v>
      </c>
      <c r="K28">
        <f>VLOOKUP(B28,'Grade Formula'!$A$1:$F$7,3,FALSE)*C28*D28/1000</f>
        <v>0.6</v>
      </c>
      <c r="L28">
        <f t="shared" si="1"/>
        <v>7</v>
      </c>
    </row>
    <row r="29" spans="1:12" x14ac:dyDescent="0.3">
      <c r="A29" s="1">
        <v>45698</v>
      </c>
      <c r="B29" t="s">
        <v>3</v>
      </c>
      <c r="C29" s="3">
        <v>3</v>
      </c>
      <c r="D29" s="3">
        <v>1</v>
      </c>
      <c r="E29" s="3">
        <f t="shared" si="0"/>
        <v>3</v>
      </c>
      <c r="F29" s="3" t="s">
        <v>82</v>
      </c>
      <c r="G29">
        <f>VLOOKUP(B29,'Grade Formula'!$A$1:$F$7,2,FALSE)*C29*D29/1000</f>
        <v>0.69</v>
      </c>
      <c r="H29">
        <f>VLOOKUP(B29,'Grade Formula'!$A$1:$F$7,4,FALSE)*C29*D29/1000</f>
        <v>2.016</v>
      </c>
      <c r="I29">
        <f>VLOOKUP(B29,'Grade Formula'!$A$1:$F$7,6,FALSE)*C29*D29/1000</f>
        <v>1.41</v>
      </c>
      <c r="J29">
        <f>VLOOKUP(B29,'Grade Formula'!$A$1:$F$7,5,FALSE)*C29*D29/1000</f>
        <v>1.7849999999999999</v>
      </c>
      <c r="K29">
        <f>VLOOKUP(B29,'Grade Formula'!$A$1:$F$7,3,FALSE)*C29*D29/1000</f>
        <v>0.3</v>
      </c>
      <c r="L29">
        <f t="shared" si="1"/>
        <v>7</v>
      </c>
    </row>
    <row r="30" spans="1:12" x14ac:dyDescent="0.3">
      <c r="A30" s="1">
        <v>45698</v>
      </c>
      <c r="B30" t="s">
        <v>5</v>
      </c>
      <c r="C30" s="3">
        <v>7</v>
      </c>
      <c r="D30" s="3">
        <v>4</v>
      </c>
      <c r="E30" s="3">
        <f t="shared" si="0"/>
        <v>28</v>
      </c>
      <c r="F30" s="3" t="s">
        <v>122</v>
      </c>
      <c r="G30">
        <f>VLOOKUP(B30,'Grade Formula'!$A$1:$F$7,2,FALSE)*C30*D30/1000</f>
        <v>8.9600000000000009</v>
      </c>
      <c r="H30">
        <f>VLOOKUP(B30,'Grade Formula'!$A$1:$F$7,4,FALSE)*C30*D30/1000</f>
        <v>17.584</v>
      </c>
      <c r="I30">
        <f>VLOOKUP(B30,'Grade Formula'!$A$1:$F$7,6,FALSE)*C30*D30/1000</f>
        <v>13.16</v>
      </c>
      <c r="J30">
        <f>VLOOKUP(B30,'Grade Formula'!$A$1:$F$7,5,FALSE)*C30*D30/1000</f>
        <v>16.8</v>
      </c>
      <c r="K30">
        <f>VLOOKUP(B30,'Grade Formula'!$A$1:$F$7,3,FALSE)*C30*D30/1000</f>
        <v>2.2400000000000002</v>
      </c>
      <c r="L30">
        <f t="shared" si="1"/>
        <v>7</v>
      </c>
    </row>
    <row r="31" spans="1:12" x14ac:dyDescent="0.3">
      <c r="A31" s="1">
        <v>45699</v>
      </c>
      <c r="B31" t="s">
        <v>5</v>
      </c>
      <c r="C31" s="3">
        <v>7</v>
      </c>
      <c r="D31" s="3">
        <v>1</v>
      </c>
      <c r="E31" s="3">
        <f t="shared" si="0"/>
        <v>7</v>
      </c>
      <c r="F31" s="3" t="s">
        <v>122</v>
      </c>
      <c r="G31">
        <f>VLOOKUP(B31,'Grade Formula'!$A$1:$F$7,2,FALSE)*C31*D31/1000</f>
        <v>2.2400000000000002</v>
      </c>
      <c r="H31">
        <f>VLOOKUP(B31,'Grade Formula'!$A$1:$F$7,4,FALSE)*C31*D31/1000</f>
        <v>4.3959999999999999</v>
      </c>
      <c r="I31">
        <f>VLOOKUP(B31,'Grade Formula'!$A$1:$F$7,6,FALSE)*C31*D31/1000</f>
        <v>3.29</v>
      </c>
      <c r="J31">
        <f>VLOOKUP(B31,'Grade Formula'!$A$1:$F$7,5,FALSE)*C31*D31/1000</f>
        <v>4.2</v>
      </c>
      <c r="K31">
        <f>VLOOKUP(B31,'Grade Formula'!$A$1:$F$7,3,FALSE)*C31*D31/1000</f>
        <v>0.56000000000000005</v>
      </c>
      <c r="L31">
        <f t="shared" si="1"/>
        <v>7</v>
      </c>
    </row>
    <row r="32" spans="1:12" x14ac:dyDescent="0.3">
      <c r="A32" s="1">
        <v>45699</v>
      </c>
      <c r="B32" t="s">
        <v>4</v>
      </c>
      <c r="C32" s="3">
        <v>7</v>
      </c>
      <c r="D32" s="3">
        <v>4</v>
      </c>
      <c r="E32" s="3">
        <f t="shared" si="0"/>
        <v>28</v>
      </c>
      <c r="F32" s="3" t="s">
        <v>160</v>
      </c>
      <c r="G32">
        <f>VLOOKUP(B32,'Grade Formula'!$A$1:$F$7,2,FALSE)*C32*D32/1000</f>
        <v>7</v>
      </c>
      <c r="H32">
        <f>VLOOKUP(B32,'Grade Formula'!$A$1:$F$7,4,FALSE)*C32*D32/1000</f>
        <v>22.847999999999999</v>
      </c>
      <c r="I32">
        <f>VLOOKUP(B32,'Grade Formula'!$A$1:$F$7,6,FALSE)*C32*D32/1000</f>
        <v>13.384</v>
      </c>
      <c r="J32">
        <f>VLOOKUP(B32,'Grade Formula'!$A$1:$F$7,5,FALSE)*C32*D32/1000</f>
        <v>16.408000000000001</v>
      </c>
      <c r="K32">
        <f>VLOOKUP(B32,'Grade Formula'!$A$1:$F$7,3,FALSE)*C32*D32/1000</f>
        <v>3.08</v>
      </c>
      <c r="L32">
        <f t="shared" si="1"/>
        <v>7</v>
      </c>
    </row>
    <row r="33" spans="1:12" x14ac:dyDescent="0.3">
      <c r="A33" s="1">
        <v>45700</v>
      </c>
      <c r="B33" t="s">
        <v>4</v>
      </c>
      <c r="C33" s="3">
        <v>7</v>
      </c>
      <c r="D33" s="3">
        <v>10</v>
      </c>
      <c r="E33" s="3">
        <f t="shared" si="0"/>
        <v>70</v>
      </c>
      <c r="F33" s="3" t="s">
        <v>160</v>
      </c>
      <c r="G33">
        <f>VLOOKUP(B33,'Grade Formula'!$A$1:$F$7,2,FALSE)*C33*D33/1000</f>
        <v>17.5</v>
      </c>
      <c r="H33">
        <f>VLOOKUP(B33,'Grade Formula'!$A$1:$F$7,4,FALSE)*C33*D33/1000</f>
        <v>57.12</v>
      </c>
      <c r="I33">
        <f>VLOOKUP(B33,'Grade Formula'!$A$1:$F$7,6,FALSE)*C33*D33/1000</f>
        <v>33.46</v>
      </c>
      <c r="J33">
        <f>VLOOKUP(B33,'Grade Formula'!$A$1:$F$7,5,FALSE)*C33*D33/1000</f>
        <v>41.02</v>
      </c>
      <c r="K33">
        <f>VLOOKUP(B33,'Grade Formula'!$A$1:$F$7,3,FALSE)*C33*D33/1000</f>
        <v>7.7</v>
      </c>
      <c r="L33">
        <f t="shared" si="1"/>
        <v>7</v>
      </c>
    </row>
    <row r="34" spans="1:12" x14ac:dyDescent="0.3">
      <c r="A34" s="1">
        <v>45700</v>
      </c>
      <c r="B34" t="s">
        <v>4</v>
      </c>
      <c r="C34" s="3">
        <v>7</v>
      </c>
      <c r="D34" s="3">
        <v>3</v>
      </c>
      <c r="E34" s="3">
        <f t="shared" si="0"/>
        <v>21</v>
      </c>
      <c r="F34" s="3" t="s">
        <v>140</v>
      </c>
      <c r="G34">
        <f>VLOOKUP(B34,'Grade Formula'!$A$1:$F$7,2,FALSE)*C34*D34/1000</f>
        <v>5.25</v>
      </c>
      <c r="H34">
        <f>VLOOKUP(B34,'Grade Formula'!$A$1:$F$7,4,FALSE)*C34*D34/1000</f>
        <v>17.135999999999999</v>
      </c>
      <c r="I34">
        <f>VLOOKUP(B34,'Grade Formula'!$A$1:$F$7,6,FALSE)*C34*D34/1000</f>
        <v>10.038</v>
      </c>
      <c r="J34">
        <f>VLOOKUP(B34,'Grade Formula'!$A$1:$F$7,5,FALSE)*C34*D34/1000</f>
        <v>12.305999999999999</v>
      </c>
      <c r="K34">
        <f>VLOOKUP(B34,'Grade Formula'!$A$1:$F$7,3,FALSE)*C34*D34/1000</f>
        <v>2.31</v>
      </c>
      <c r="L34">
        <f t="shared" si="1"/>
        <v>7</v>
      </c>
    </row>
    <row r="35" spans="1:12" x14ac:dyDescent="0.3">
      <c r="A35" s="1">
        <v>45701</v>
      </c>
      <c r="B35" t="s">
        <v>4</v>
      </c>
      <c r="C35" s="3">
        <v>7</v>
      </c>
      <c r="D35" s="3">
        <v>5</v>
      </c>
      <c r="E35" s="3">
        <f t="shared" si="0"/>
        <v>35</v>
      </c>
      <c r="F35" s="3" t="s">
        <v>160</v>
      </c>
      <c r="G35">
        <f>VLOOKUP(B35,'Grade Formula'!$A$1:$F$7,2,FALSE)*C35*D35/1000</f>
        <v>8.75</v>
      </c>
      <c r="H35">
        <f>VLOOKUP(B35,'Grade Formula'!$A$1:$F$7,4,FALSE)*C35*D35/1000</f>
        <v>28.56</v>
      </c>
      <c r="I35">
        <f>VLOOKUP(B35,'Grade Formula'!$A$1:$F$7,6,FALSE)*C35*D35/1000</f>
        <v>16.73</v>
      </c>
      <c r="J35">
        <f>VLOOKUP(B35,'Grade Formula'!$A$1:$F$7,5,FALSE)*C35*D35/1000</f>
        <v>20.51</v>
      </c>
      <c r="K35">
        <f>VLOOKUP(B35,'Grade Formula'!$A$1:$F$7,3,FALSE)*C35*D35/1000</f>
        <v>3.85</v>
      </c>
      <c r="L35">
        <f t="shared" si="1"/>
        <v>7</v>
      </c>
    </row>
    <row r="36" spans="1:12" x14ac:dyDescent="0.3">
      <c r="A36" s="1">
        <v>45701</v>
      </c>
      <c r="B36" t="s">
        <v>4</v>
      </c>
      <c r="C36" s="3">
        <v>7</v>
      </c>
      <c r="D36" s="3">
        <v>1</v>
      </c>
      <c r="E36" s="3">
        <f t="shared" si="0"/>
        <v>7</v>
      </c>
      <c r="F36" s="3" t="s">
        <v>140</v>
      </c>
      <c r="G36">
        <f>VLOOKUP(B36,'Grade Formula'!$A$1:$F$7,2,FALSE)*C36*D36/1000</f>
        <v>1.75</v>
      </c>
      <c r="H36">
        <f>VLOOKUP(B36,'Grade Formula'!$A$1:$F$7,4,FALSE)*C36*D36/1000</f>
        <v>5.7119999999999997</v>
      </c>
      <c r="I36">
        <f>VLOOKUP(B36,'Grade Formula'!$A$1:$F$7,6,FALSE)*C36*D36/1000</f>
        <v>3.3460000000000001</v>
      </c>
      <c r="J36">
        <f>VLOOKUP(B36,'Grade Formula'!$A$1:$F$7,5,FALSE)*C36*D36/1000</f>
        <v>4.1020000000000003</v>
      </c>
      <c r="K36">
        <f>VLOOKUP(B36,'Grade Formula'!$A$1:$F$7,3,FALSE)*C36*D36/1000</f>
        <v>0.77</v>
      </c>
      <c r="L36">
        <f t="shared" si="1"/>
        <v>7</v>
      </c>
    </row>
    <row r="37" spans="1:12" x14ac:dyDescent="0.3">
      <c r="A37" s="1">
        <v>45701</v>
      </c>
      <c r="B37" t="s">
        <v>4</v>
      </c>
      <c r="C37" s="3">
        <v>5</v>
      </c>
      <c r="D37" s="3">
        <v>1</v>
      </c>
      <c r="E37" s="3">
        <f t="shared" si="0"/>
        <v>5</v>
      </c>
      <c r="F37" s="3" t="s">
        <v>160</v>
      </c>
      <c r="G37">
        <f>VLOOKUP(B37,'Grade Formula'!$A$1:$F$7,2,FALSE)*C37*D37/1000</f>
        <v>1.25</v>
      </c>
      <c r="H37">
        <f>VLOOKUP(B37,'Grade Formula'!$A$1:$F$7,4,FALSE)*C37*D37/1000</f>
        <v>4.08</v>
      </c>
      <c r="I37">
        <f>VLOOKUP(B37,'Grade Formula'!$A$1:$F$7,6,FALSE)*C37*D37/1000</f>
        <v>2.39</v>
      </c>
      <c r="J37">
        <f>VLOOKUP(B37,'Grade Formula'!$A$1:$F$7,5,FALSE)*C37*D37/1000</f>
        <v>2.93</v>
      </c>
      <c r="K37">
        <f>VLOOKUP(B37,'Grade Formula'!$A$1:$F$7,3,FALSE)*C37*D37/1000</f>
        <v>0.55000000000000004</v>
      </c>
      <c r="L37">
        <f t="shared" si="1"/>
        <v>7</v>
      </c>
    </row>
    <row r="38" spans="1:12" x14ac:dyDescent="0.3">
      <c r="A38" s="1">
        <v>45701</v>
      </c>
      <c r="B38" t="s">
        <v>4</v>
      </c>
      <c r="C38" s="3">
        <v>5.5</v>
      </c>
      <c r="D38" s="3">
        <v>1</v>
      </c>
      <c r="E38" s="3">
        <f t="shared" si="0"/>
        <v>5.5</v>
      </c>
      <c r="F38" s="3" t="s">
        <v>160</v>
      </c>
      <c r="G38">
        <f>VLOOKUP(B38,'Grade Formula'!$A$1:$F$7,2,FALSE)*C38*D38/1000</f>
        <v>1.375</v>
      </c>
      <c r="H38">
        <f>VLOOKUP(B38,'Grade Formula'!$A$1:$F$7,4,FALSE)*C38*D38/1000</f>
        <v>4.4880000000000004</v>
      </c>
      <c r="I38">
        <f>VLOOKUP(B38,'Grade Formula'!$A$1:$F$7,6,FALSE)*C38*D38/1000</f>
        <v>2.629</v>
      </c>
      <c r="J38">
        <f>VLOOKUP(B38,'Grade Formula'!$A$1:$F$7,5,FALSE)*C38*D38/1000</f>
        <v>3.2229999999999999</v>
      </c>
      <c r="K38">
        <f>VLOOKUP(B38,'Grade Formula'!$A$1:$F$7,3,FALSE)*C38*D38/1000</f>
        <v>0.60499999999999998</v>
      </c>
      <c r="L38">
        <f t="shared" si="1"/>
        <v>7</v>
      </c>
    </row>
    <row r="39" spans="1:12" x14ac:dyDescent="0.3">
      <c r="A39" s="1">
        <v>45702</v>
      </c>
      <c r="B39" t="s">
        <v>6</v>
      </c>
      <c r="C39" s="3">
        <v>7</v>
      </c>
      <c r="D39" s="3">
        <v>2</v>
      </c>
      <c r="E39" s="3">
        <f t="shared" si="0"/>
        <v>14</v>
      </c>
      <c r="F39" s="3" t="s">
        <v>130</v>
      </c>
      <c r="G39">
        <f>VLOOKUP(B39,'Grade Formula'!$A$1:$F$7,2,FALSE)*C39*D39/1000</f>
        <v>3.64</v>
      </c>
      <c r="H39">
        <f>VLOOKUP(B39,'Grade Formula'!$A$1:$F$7,4,FALSE)*C39*D39/1000</f>
        <v>10.038</v>
      </c>
      <c r="I39">
        <f>VLOOKUP(B39,'Grade Formula'!$A$1:$F$7,6,FALSE)*C39*D39/1000</f>
        <v>6.72</v>
      </c>
      <c r="J39">
        <f>VLOOKUP(B39,'Grade Formula'!$A$1:$F$7,5,FALSE)*C39*D39/1000</f>
        <v>8.82</v>
      </c>
      <c r="K39">
        <f>VLOOKUP(B39,'Grade Formula'!$A$1:$F$7,3,FALSE)*C39*D39/1000</f>
        <v>0</v>
      </c>
      <c r="L39">
        <f t="shared" si="1"/>
        <v>7</v>
      </c>
    </row>
    <row r="40" spans="1:12" x14ac:dyDescent="0.3">
      <c r="A40" s="1">
        <v>45702</v>
      </c>
      <c r="B40" t="s">
        <v>4</v>
      </c>
      <c r="C40" s="3">
        <v>7</v>
      </c>
      <c r="D40" s="3">
        <v>15</v>
      </c>
      <c r="E40" s="3">
        <f t="shared" si="0"/>
        <v>105</v>
      </c>
      <c r="F40" s="3" t="s">
        <v>86</v>
      </c>
      <c r="G40">
        <f>VLOOKUP(B40,'Grade Formula'!$A$1:$F$7,2,FALSE)*C40*D40/1000</f>
        <v>26.25</v>
      </c>
      <c r="H40">
        <f>VLOOKUP(B40,'Grade Formula'!$A$1:$F$7,4,FALSE)*C40*D40/1000</f>
        <v>85.68</v>
      </c>
      <c r="I40">
        <f>VLOOKUP(B40,'Grade Formula'!$A$1:$F$7,6,FALSE)*C40*D40/1000</f>
        <v>50.19</v>
      </c>
      <c r="J40">
        <f>VLOOKUP(B40,'Grade Formula'!$A$1:$F$7,5,FALSE)*C40*D40/1000</f>
        <v>61.53</v>
      </c>
      <c r="K40">
        <f>VLOOKUP(B40,'Grade Formula'!$A$1:$F$7,3,FALSE)*C40*D40/1000</f>
        <v>11.55</v>
      </c>
      <c r="L40">
        <f t="shared" si="1"/>
        <v>7</v>
      </c>
    </row>
    <row r="41" spans="1:12" x14ac:dyDescent="0.3">
      <c r="A41" s="1">
        <v>45702</v>
      </c>
      <c r="B41" t="s">
        <v>4</v>
      </c>
      <c r="C41" s="3">
        <v>7</v>
      </c>
      <c r="D41" s="3">
        <v>2</v>
      </c>
      <c r="E41" s="3">
        <f t="shared" si="0"/>
        <v>14</v>
      </c>
      <c r="F41" s="3" t="s">
        <v>85</v>
      </c>
      <c r="G41">
        <f>VLOOKUP(B41,'Grade Formula'!$A$1:$F$7,2,FALSE)*C41*D41/1000</f>
        <v>3.5</v>
      </c>
      <c r="H41">
        <f>VLOOKUP(B41,'Grade Formula'!$A$1:$F$7,4,FALSE)*C41*D41/1000</f>
        <v>11.423999999999999</v>
      </c>
      <c r="I41">
        <f>VLOOKUP(B41,'Grade Formula'!$A$1:$F$7,6,FALSE)*C41*D41/1000</f>
        <v>6.6920000000000002</v>
      </c>
      <c r="J41">
        <f>VLOOKUP(B41,'Grade Formula'!$A$1:$F$7,5,FALSE)*C41*D41/1000</f>
        <v>8.2040000000000006</v>
      </c>
      <c r="K41">
        <f>VLOOKUP(B41,'Grade Formula'!$A$1:$F$7,3,FALSE)*C41*D41/1000</f>
        <v>1.54</v>
      </c>
      <c r="L41">
        <f t="shared" si="1"/>
        <v>7</v>
      </c>
    </row>
    <row r="42" spans="1:12" x14ac:dyDescent="0.3">
      <c r="A42" s="1">
        <v>45702</v>
      </c>
      <c r="B42" t="s">
        <v>4</v>
      </c>
      <c r="C42" s="3">
        <v>7</v>
      </c>
      <c r="D42" s="3">
        <v>1</v>
      </c>
      <c r="E42" s="3">
        <f t="shared" si="0"/>
        <v>7</v>
      </c>
      <c r="F42" s="3" t="s">
        <v>140</v>
      </c>
      <c r="G42">
        <f>VLOOKUP(B42,'Grade Formula'!$A$1:$F$7,2,FALSE)*C42*D42/1000</f>
        <v>1.75</v>
      </c>
      <c r="H42">
        <f>VLOOKUP(B42,'Grade Formula'!$A$1:$F$7,4,FALSE)*C42*D42/1000</f>
        <v>5.7119999999999997</v>
      </c>
      <c r="I42">
        <f>VLOOKUP(B42,'Grade Formula'!$A$1:$F$7,6,FALSE)*C42*D42/1000</f>
        <v>3.3460000000000001</v>
      </c>
      <c r="J42">
        <f>VLOOKUP(B42,'Grade Formula'!$A$1:$F$7,5,FALSE)*C42*D42/1000</f>
        <v>4.1020000000000003</v>
      </c>
      <c r="K42">
        <f>VLOOKUP(B42,'Grade Formula'!$A$1:$F$7,3,FALSE)*C42*D42/1000</f>
        <v>0.77</v>
      </c>
      <c r="L42">
        <f t="shared" si="1"/>
        <v>7</v>
      </c>
    </row>
    <row r="43" spans="1:12" x14ac:dyDescent="0.3">
      <c r="A43" s="1">
        <v>45702</v>
      </c>
      <c r="B43" t="s">
        <v>6</v>
      </c>
      <c r="C43" s="3">
        <v>3.5</v>
      </c>
      <c r="D43" s="3">
        <v>1</v>
      </c>
      <c r="E43" s="3">
        <f t="shared" si="0"/>
        <v>3.5</v>
      </c>
      <c r="F43" s="3" t="s">
        <v>130</v>
      </c>
      <c r="G43">
        <f>VLOOKUP(B43,'Grade Formula'!$A$1:$F$7,2,FALSE)*C43*D43/1000</f>
        <v>0.91</v>
      </c>
      <c r="H43">
        <f>VLOOKUP(B43,'Grade Formula'!$A$1:$F$7,4,FALSE)*C43*D43/1000</f>
        <v>2.5095000000000001</v>
      </c>
      <c r="I43">
        <f>VLOOKUP(B43,'Grade Formula'!$A$1:$F$7,6,FALSE)*C43*D43/1000</f>
        <v>1.68</v>
      </c>
      <c r="J43">
        <f>VLOOKUP(B43,'Grade Formula'!$A$1:$F$7,5,FALSE)*C43*D43/1000</f>
        <v>2.2050000000000001</v>
      </c>
      <c r="K43">
        <f>VLOOKUP(B43,'Grade Formula'!$A$1:$F$7,3,FALSE)*C43*D43/1000</f>
        <v>0</v>
      </c>
      <c r="L43">
        <f t="shared" si="1"/>
        <v>7</v>
      </c>
    </row>
    <row r="44" spans="1:12" x14ac:dyDescent="0.3">
      <c r="A44" s="1">
        <v>45703</v>
      </c>
      <c r="B44" t="s">
        <v>3</v>
      </c>
      <c r="C44" s="3">
        <v>7.5</v>
      </c>
      <c r="D44" s="3">
        <v>1</v>
      </c>
      <c r="E44" s="3">
        <f t="shared" si="0"/>
        <v>7.5</v>
      </c>
      <c r="F44" s="3" t="s">
        <v>105</v>
      </c>
      <c r="G44">
        <f>VLOOKUP(B44,'Grade Formula'!$A$1:$F$7,2,FALSE)*C44*D44/1000</f>
        <v>1.7250000000000001</v>
      </c>
      <c r="H44">
        <f>VLOOKUP(B44,'Grade Formula'!$A$1:$F$7,4,FALSE)*C44*D44/1000</f>
        <v>5.04</v>
      </c>
      <c r="I44">
        <f>VLOOKUP(B44,'Grade Formula'!$A$1:$F$7,6,FALSE)*C44*D44/1000</f>
        <v>3.5249999999999999</v>
      </c>
      <c r="J44">
        <f>VLOOKUP(B44,'Grade Formula'!$A$1:$F$7,5,FALSE)*C44*D44/1000</f>
        <v>4.4625000000000004</v>
      </c>
      <c r="K44">
        <f>VLOOKUP(B44,'Grade Formula'!$A$1:$F$7,3,FALSE)*C44*D44/1000</f>
        <v>0.75</v>
      </c>
      <c r="L44">
        <f t="shared" si="1"/>
        <v>7</v>
      </c>
    </row>
    <row r="45" spans="1:12" x14ac:dyDescent="0.3">
      <c r="A45" s="1">
        <v>45703</v>
      </c>
      <c r="B45" t="s">
        <v>4</v>
      </c>
      <c r="C45" s="3">
        <v>7</v>
      </c>
      <c r="D45" s="3">
        <v>1</v>
      </c>
      <c r="E45" s="3">
        <f t="shared" si="0"/>
        <v>7</v>
      </c>
      <c r="F45" s="3" t="s">
        <v>140</v>
      </c>
      <c r="G45">
        <f>VLOOKUP(B45,'Grade Formula'!$A$1:$F$7,2,FALSE)*C45*D45/1000</f>
        <v>1.75</v>
      </c>
      <c r="H45">
        <f>VLOOKUP(B45,'Grade Formula'!$A$1:$F$7,4,FALSE)*C45*D45/1000</f>
        <v>5.7119999999999997</v>
      </c>
      <c r="I45">
        <f>VLOOKUP(B45,'Grade Formula'!$A$1:$F$7,6,FALSE)*C45*D45/1000</f>
        <v>3.3460000000000001</v>
      </c>
      <c r="J45">
        <f>VLOOKUP(B45,'Grade Formula'!$A$1:$F$7,5,FALSE)*C45*D45/1000</f>
        <v>4.1020000000000003</v>
      </c>
      <c r="K45">
        <f>VLOOKUP(B45,'Grade Formula'!$A$1:$F$7,3,FALSE)*C45*D45/1000</f>
        <v>0.77</v>
      </c>
      <c r="L45">
        <f t="shared" si="1"/>
        <v>7</v>
      </c>
    </row>
    <row r="46" spans="1:12" x14ac:dyDescent="0.3">
      <c r="A46" s="1">
        <v>45704</v>
      </c>
      <c r="B46" t="s">
        <v>3</v>
      </c>
      <c r="C46" s="3">
        <v>8.5</v>
      </c>
      <c r="D46" s="3">
        <v>1</v>
      </c>
      <c r="E46" s="3">
        <f t="shared" si="0"/>
        <v>8.5</v>
      </c>
      <c r="F46" s="3" t="s">
        <v>84</v>
      </c>
      <c r="G46">
        <f>VLOOKUP(B46,'Grade Formula'!$A$1:$F$7,2,FALSE)*C46*D46/1000</f>
        <v>1.9550000000000001</v>
      </c>
      <c r="H46">
        <f>VLOOKUP(B46,'Grade Formula'!$A$1:$F$7,4,FALSE)*C46*D46/1000</f>
        <v>5.7119999999999997</v>
      </c>
      <c r="I46">
        <f>VLOOKUP(B46,'Grade Formula'!$A$1:$F$7,6,FALSE)*C46*D46/1000</f>
        <v>3.9950000000000001</v>
      </c>
      <c r="J46">
        <f>VLOOKUP(B46,'Grade Formula'!$A$1:$F$7,5,FALSE)*C46*D46/1000</f>
        <v>5.0575000000000001</v>
      </c>
      <c r="K46">
        <f>VLOOKUP(B46,'Grade Formula'!$A$1:$F$7,3,FALSE)*C46*D46/1000</f>
        <v>0.85</v>
      </c>
      <c r="L46">
        <f t="shared" si="1"/>
        <v>8</v>
      </c>
    </row>
    <row r="47" spans="1:12" x14ac:dyDescent="0.3">
      <c r="A47" s="1">
        <v>45705</v>
      </c>
      <c r="B47" t="s">
        <v>3</v>
      </c>
      <c r="C47" s="3">
        <v>5</v>
      </c>
      <c r="D47" s="3">
        <v>1</v>
      </c>
      <c r="E47" s="3">
        <f t="shared" si="0"/>
        <v>5</v>
      </c>
      <c r="F47" s="3" t="s">
        <v>105</v>
      </c>
      <c r="G47">
        <f>VLOOKUP(B47,'Grade Formula'!$A$1:$F$7,2,FALSE)*C47*D47/1000</f>
        <v>1.1499999999999999</v>
      </c>
      <c r="H47">
        <f>VLOOKUP(B47,'Grade Formula'!$A$1:$F$7,4,FALSE)*C47*D47/1000</f>
        <v>3.36</v>
      </c>
      <c r="I47">
        <f>VLOOKUP(B47,'Grade Formula'!$A$1:$F$7,6,FALSE)*C47*D47/1000</f>
        <v>2.35</v>
      </c>
      <c r="J47">
        <f>VLOOKUP(B47,'Grade Formula'!$A$1:$F$7,5,FALSE)*C47*D47/1000</f>
        <v>2.9750000000000001</v>
      </c>
      <c r="K47">
        <f>VLOOKUP(B47,'Grade Formula'!$A$1:$F$7,3,FALSE)*C47*D47/1000</f>
        <v>0.5</v>
      </c>
      <c r="L47">
        <f t="shared" si="1"/>
        <v>8</v>
      </c>
    </row>
    <row r="48" spans="1:12" x14ac:dyDescent="0.3">
      <c r="A48" s="1">
        <v>45705</v>
      </c>
      <c r="B48" t="s">
        <v>3</v>
      </c>
      <c r="C48" s="3">
        <v>7</v>
      </c>
      <c r="D48" s="3">
        <v>5</v>
      </c>
      <c r="E48" s="3">
        <f t="shared" si="0"/>
        <v>35</v>
      </c>
      <c r="F48" s="3" t="s">
        <v>134</v>
      </c>
      <c r="G48">
        <f>VLOOKUP(B48,'Grade Formula'!$A$1:$F$7,2,FALSE)*C48*D48/1000</f>
        <v>8.0500000000000007</v>
      </c>
      <c r="H48">
        <f>VLOOKUP(B48,'Grade Formula'!$A$1:$F$7,4,FALSE)*C48*D48/1000</f>
        <v>23.52</v>
      </c>
      <c r="I48">
        <f>VLOOKUP(B48,'Grade Formula'!$A$1:$F$7,6,FALSE)*C48*D48/1000</f>
        <v>16.45</v>
      </c>
      <c r="J48">
        <f>VLOOKUP(B48,'Grade Formula'!$A$1:$F$7,5,FALSE)*C48*D48/1000</f>
        <v>20.824999999999999</v>
      </c>
      <c r="K48">
        <f>VLOOKUP(B48,'Grade Formula'!$A$1:$F$7,3,FALSE)*C48*D48/1000</f>
        <v>3.5</v>
      </c>
      <c r="L48">
        <f t="shared" si="1"/>
        <v>8</v>
      </c>
    </row>
    <row r="49" spans="1:12" x14ac:dyDescent="0.3">
      <c r="A49" s="1">
        <v>45706</v>
      </c>
      <c r="B49" t="s">
        <v>3</v>
      </c>
      <c r="C49" s="3">
        <v>7</v>
      </c>
      <c r="D49" s="3">
        <v>2</v>
      </c>
      <c r="E49" s="3">
        <f t="shared" si="0"/>
        <v>14</v>
      </c>
      <c r="F49" s="3" t="s">
        <v>134</v>
      </c>
      <c r="G49">
        <f>VLOOKUP(B49,'Grade Formula'!$A$1:$F$7,2,FALSE)*C49*D49/1000</f>
        <v>3.22</v>
      </c>
      <c r="H49">
        <f>VLOOKUP(B49,'Grade Formula'!$A$1:$F$7,4,FALSE)*C49*D49/1000</f>
        <v>9.4079999999999995</v>
      </c>
      <c r="I49">
        <f>VLOOKUP(B49,'Grade Formula'!$A$1:$F$7,6,FALSE)*C49*D49/1000</f>
        <v>6.58</v>
      </c>
      <c r="J49">
        <f>VLOOKUP(B49,'Grade Formula'!$A$1:$F$7,5,FALSE)*C49*D49/1000</f>
        <v>8.33</v>
      </c>
      <c r="K49">
        <f>VLOOKUP(B49,'Grade Formula'!$A$1:$F$7,3,FALSE)*C49*D49/1000</f>
        <v>1.4</v>
      </c>
      <c r="L49">
        <f t="shared" si="1"/>
        <v>8</v>
      </c>
    </row>
    <row r="50" spans="1:12" x14ac:dyDescent="0.3">
      <c r="A50" s="1">
        <v>45706</v>
      </c>
      <c r="B50" t="s">
        <v>5</v>
      </c>
      <c r="C50" s="3">
        <v>7</v>
      </c>
      <c r="D50" s="3">
        <v>3</v>
      </c>
      <c r="E50" s="3">
        <f t="shared" si="0"/>
        <v>21</v>
      </c>
      <c r="F50" s="3" t="s">
        <v>122</v>
      </c>
      <c r="G50">
        <f>VLOOKUP(B50,'Grade Formula'!$A$1:$F$7,2,FALSE)*C50*D50/1000</f>
        <v>6.72</v>
      </c>
      <c r="H50">
        <f>VLOOKUP(B50,'Grade Formula'!$A$1:$F$7,4,FALSE)*C50*D50/1000</f>
        <v>13.188000000000001</v>
      </c>
      <c r="I50">
        <f>VLOOKUP(B50,'Grade Formula'!$A$1:$F$7,6,FALSE)*C50*D50/1000</f>
        <v>9.8699999999999992</v>
      </c>
      <c r="J50">
        <f>VLOOKUP(B50,'Grade Formula'!$A$1:$F$7,5,FALSE)*C50*D50/1000</f>
        <v>12.6</v>
      </c>
      <c r="K50">
        <f>VLOOKUP(B50,'Grade Formula'!$A$1:$F$7,3,FALSE)*C50*D50/1000</f>
        <v>1.68</v>
      </c>
      <c r="L50">
        <f t="shared" si="1"/>
        <v>8</v>
      </c>
    </row>
    <row r="51" spans="1:12" x14ac:dyDescent="0.3">
      <c r="A51" s="1">
        <v>45707</v>
      </c>
      <c r="B51" t="s">
        <v>3</v>
      </c>
      <c r="C51" s="3">
        <v>7</v>
      </c>
      <c r="D51" s="3">
        <v>4</v>
      </c>
      <c r="E51" s="3">
        <f t="shared" si="0"/>
        <v>28</v>
      </c>
      <c r="F51" s="3" t="s">
        <v>132</v>
      </c>
      <c r="G51">
        <f>VLOOKUP(B51,'Grade Formula'!$A$1:$F$7,2,FALSE)*C51*D51/1000</f>
        <v>6.44</v>
      </c>
      <c r="H51">
        <f>VLOOKUP(B51,'Grade Formula'!$A$1:$F$7,4,FALSE)*C51*D51/1000</f>
        <v>18.815999999999999</v>
      </c>
      <c r="I51">
        <f>VLOOKUP(B51,'Grade Formula'!$A$1:$F$7,6,FALSE)*C51*D51/1000</f>
        <v>13.16</v>
      </c>
      <c r="J51">
        <f>VLOOKUP(B51,'Grade Formula'!$A$1:$F$7,5,FALSE)*C51*D51/1000</f>
        <v>16.66</v>
      </c>
      <c r="K51">
        <f>VLOOKUP(B51,'Grade Formula'!$A$1:$F$7,3,FALSE)*C51*D51/1000</f>
        <v>2.8</v>
      </c>
      <c r="L51">
        <f t="shared" si="1"/>
        <v>8</v>
      </c>
    </row>
    <row r="52" spans="1:12" x14ac:dyDescent="0.3">
      <c r="A52" s="1">
        <v>45707</v>
      </c>
      <c r="B52" t="s">
        <v>5</v>
      </c>
      <c r="C52" s="3">
        <v>7</v>
      </c>
      <c r="D52" s="3">
        <v>4</v>
      </c>
      <c r="E52" s="3">
        <f t="shared" si="0"/>
        <v>28</v>
      </c>
      <c r="F52" s="3" t="s">
        <v>156</v>
      </c>
      <c r="G52">
        <f>VLOOKUP(B52,'Grade Formula'!$A$1:$F$7,2,FALSE)*C52*D52/1000</f>
        <v>8.9600000000000009</v>
      </c>
      <c r="H52">
        <f>VLOOKUP(B52,'Grade Formula'!$A$1:$F$7,4,FALSE)*C52*D52/1000</f>
        <v>17.584</v>
      </c>
      <c r="I52">
        <f>VLOOKUP(B52,'Grade Formula'!$A$1:$F$7,6,FALSE)*C52*D52/1000</f>
        <v>13.16</v>
      </c>
      <c r="J52">
        <f>VLOOKUP(B52,'Grade Formula'!$A$1:$F$7,5,FALSE)*C52*D52/1000</f>
        <v>16.8</v>
      </c>
      <c r="K52">
        <f>VLOOKUP(B52,'Grade Formula'!$A$1:$F$7,3,FALSE)*C52*D52/1000</f>
        <v>2.2400000000000002</v>
      </c>
      <c r="L52">
        <f t="shared" si="1"/>
        <v>8</v>
      </c>
    </row>
    <row r="53" spans="1:12" x14ac:dyDescent="0.3">
      <c r="A53" s="1">
        <v>45708</v>
      </c>
      <c r="B53" t="s">
        <v>5</v>
      </c>
      <c r="C53" s="3">
        <v>7</v>
      </c>
      <c r="D53" s="3">
        <v>4</v>
      </c>
      <c r="E53" s="3">
        <f t="shared" si="0"/>
        <v>28</v>
      </c>
      <c r="F53" s="3" t="s">
        <v>156</v>
      </c>
      <c r="G53">
        <f>VLOOKUP(B53,'Grade Formula'!$A$1:$F$7,2,FALSE)*C53*D53/1000</f>
        <v>8.9600000000000009</v>
      </c>
      <c r="H53">
        <f>VLOOKUP(B53,'Grade Formula'!$A$1:$F$7,4,FALSE)*C53*D53/1000</f>
        <v>17.584</v>
      </c>
      <c r="I53">
        <f>VLOOKUP(B53,'Grade Formula'!$A$1:$F$7,6,FALSE)*C53*D53/1000</f>
        <v>13.16</v>
      </c>
      <c r="J53">
        <f>VLOOKUP(B53,'Grade Formula'!$A$1:$F$7,5,FALSE)*C53*D53/1000</f>
        <v>16.8</v>
      </c>
      <c r="K53">
        <f>VLOOKUP(B53,'Grade Formula'!$A$1:$F$7,3,FALSE)*C53*D53/1000</f>
        <v>2.2400000000000002</v>
      </c>
      <c r="L53">
        <f t="shared" si="1"/>
        <v>8</v>
      </c>
    </row>
    <row r="54" spans="1:12" x14ac:dyDescent="0.3">
      <c r="A54" s="1">
        <v>45708</v>
      </c>
      <c r="B54" t="s">
        <v>4</v>
      </c>
      <c r="C54" s="3">
        <v>7</v>
      </c>
      <c r="D54" s="3">
        <v>1</v>
      </c>
      <c r="E54" s="3">
        <f t="shared" si="0"/>
        <v>7</v>
      </c>
      <c r="F54" s="3" t="s">
        <v>140</v>
      </c>
      <c r="G54">
        <f>VLOOKUP(B54,'Grade Formula'!$A$1:$F$7,2,FALSE)*C54*D54/1000</f>
        <v>1.75</v>
      </c>
      <c r="H54">
        <f>VLOOKUP(B54,'Grade Formula'!$A$1:$F$7,4,FALSE)*C54*D54/1000</f>
        <v>5.7119999999999997</v>
      </c>
      <c r="I54">
        <f>VLOOKUP(B54,'Grade Formula'!$A$1:$F$7,6,FALSE)*C54*D54/1000</f>
        <v>3.3460000000000001</v>
      </c>
      <c r="J54">
        <f>VLOOKUP(B54,'Grade Formula'!$A$1:$F$7,5,FALSE)*C54*D54/1000</f>
        <v>4.1020000000000003</v>
      </c>
      <c r="K54">
        <f>VLOOKUP(B54,'Grade Formula'!$A$1:$F$7,3,FALSE)*C54*D54/1000</f>
        <v>0.77</v>
      </c>
      <c r="L54">
        <f t="shared" si="1"/>
        <v>8</v>
      </c>
    </row>
    <row r="55" spans="1:12" x14ac:dyDescent="0.3">
      <c r="A55" s="1">
        <v>45709</v>
      </c>
      <c r="B55" t="s">
        <v>4</v>
      </c>
      <c r="C55" s="3">
        <v>6</v>
      </c>
      <c r="D55" s="3">
        <v>1</v>
      </c>
      <c r="E55" s="3">
        <f t="shared" si="0"/>
        <v>6</v>
      </c>
      <c r="F55" s="3" t="s">
        <v>140</v>
      </c>
      <c r="G55">
        <f>VLOOKUP(B55,'Grade Formula'!$A$1:$F$7,2,FALSE)*C55*D55/1000</f>
        <v>1.5</v>
      </c>
      <c r="H55">
        <f>VLOOKUP(B55,'Grade Formula'!$A$1:$F$7,4,FALSE)*C55*D55/1000</f>
        <v>4.8959999999999999</v>
      </c>
      <c r="I55">
        <f>VLOOKUP(B55,'Grade Formula'!$A$1:$F$7,6,FALSE)*C55*D55/1000</f>
        <v>2.8679999999999999</v>
      </c>
      <c r="J55">
        <f>VLOOKUP(B55,'Grade Formula'!$A$1:$F$7,5,FALSE)*C55*D55/1000</f>
        <v>3.516</v>
      </c>
      <c r="K55">
        <f>VLOOKUP(B55,'Grade Formula'!$A$1:$F$7,3,FALSE)*C55*D55/1000</f>
        <v>0.66</v>
      </c>
      <c r="L55">
        <f t="shared" si="1"/>
        <v>8</v>
      </c>
    </row>
    <row r="56" spans="1:12" x14ac:dyDescent="0.3">
      <c r="A56" s="1">
        <v>45709</v>
      </c>
      <c r="B56" t="s">
        <v>5</v>
      </c>
      <c r="C56" s="3">
        <v>6</v>
      </c>
      <c r="D56" s="3">
        <v>7</v>
      </c>
      <c r="E56" s="3">
        <f t="shared" si="0"/>
        <v>42</v>
      </c>
      <c r="F56" s="3" t="s">
        <v>100</v>
      </c>
      <c r="G56">
        <f>VLOOKUP(B56,'Grade Formula'!$A$1:$F$7,2,FALSE)*C56*D56/1000</f>
        <v>13.44</v>
      </c>
      <c r="H56">
        <f>VLOOKUP(B56,'Grade Formula'!$A$1:$F$7,4,FALSE)*C56*D56/1000</f>
        <v>26.376000000000001</v>
      </c>
      <c r="I56">
        <f>VLOOKUP(B56,'Grade Formula'!$A$1:$F$7,6,FALSE)*C56*D56/1000</f>
        <v>19.739999999999998</v>
      </c>
      <c r="J56">
        <f>VLOOKUP(B56,'Grade Formula'!$A$1:$F$7,5,FALSE)*C56*D56/1000</f>
        <v>25.2</v>
      </c>
      <c r="K56">
        <f>VLOOKUP(B56,'Grade Formula'!$A$1:$F$7,3,FALSE)*C56*D56/1000</f>
        <v>3.36</v>
      </c>
      <c r="L56">
        <f t="shared" si="1"/>
        <v>8</v>
      </c>
    </row>
    <row r="57" spans="1:12" x14ac:dyDescent="0.3">
      <c r="A57" s="1">
        <v>45709</v>
      </c>
      <c r="B57" t="s">
        <v>5</v>
      </c>
      <c r="C57" s="3">
        <v>3</v>
      </c>
      <c r="D57" s="3">
        <v>1</v>
      </c>
      <c r="E57" s="3">
        <f t="shared" si="0"/>
        <v>3</v>
      </c>
      <c r="F57" s="3" t="s">
        <v>100</v>
      </c>
      <c r="G57">
        <f>VLOOKUP(B57,'Grade Formula'!$A$1:$F$7,2,FALSE)*C57*D57/1000</f>
        <v>0.96</v>
      </c>
      <c r="H57">
        <f>VLOOKUP(B57,'Grade Formula'!$A$1:$F$7,4,FALSE)*C57*D57/1000</f>
        <v>1.8839999999999999</v>
      </c>
      <c r="I57">
        <f>VLOOKUP(B57,'Grade Formula'!$A$1:$F$7,6,FALSE)*C57*D57/1000</f>
        <v>1.41</v>
      </c>
      <c r="J57">
        <f>VLOOKUP(B57,'Grade Formula'!$A$1:$F$7,5,FALSE)*C57*D57/1000</f>
        <v>1.8</v>
      </c>
      <c r="K57">
        <f>VLOOKUP(B57,'Grade Formula'!$A$1:$F$7,3,FALSE)*C57*D57/1000</f>
        <v>0.24</v>
      </c>
      <c r="L57">
        <f t="shared" si="1"/>
        <v>8</v>
      </c>
    </row>
    <row r="58" spans="1:12" x14ac:dyDescent="0.3">
      <c r="A58" s="1">
        <v>45709</v>
      </c>
      <c r="B58" t="s">
        <v>7</v>
      </c>
      <c r="C58" s="3">
        <v>7</v>
      </c>
      <c r="D58" s="3">
        <v>3</v>
      </c>
      <c r="E58" s="3">
        <f t="shared" si="0"/>
        <v>21</v>
      </c>
      <c r="F58" s="3" t="s">
        <v>119</v>
      </c>
      <c r="G58">
        <f>VLOOKUP(B58,'Grade Formula'!$A$1:$F$7,2,FALSE)*C58*D58/1000</f>
        <v>4.41</v>
      </c>
      <c r="H58">
        <f>VLOOKUP(B58,'Grade Formula'!$A$1:$F$7,4,FALSE)*C58*D58/1000</f>
        <v>16.233000000000001</v>
      </c>
      <c r="I58">
        <f>VLOOKUP(B58,'Grade Formula'!$A$1:$F$7,6,FALSE)*C58*D58/1000</f>
        <v>10.29</v>
      </c>
      <c r="J58">
        <f>VLOOKUP(B58,'Grade Formula'!$A$1:$F$7,5,FALSE)*C58*D58/1000</f>
        <v>13.86</v>
      </c>
      <c r="K58">
        <f>VLOOKUP(B58,'Grade Formula'!$A$1:$F$7,3,FALSE)*C58*D58/1000</f>
        <v>0</v>
      </c>
      <c r="L58">
        <f t="shared" si="1"/>
        <v>8</v>
      </c>
    </row>
    <row r="59" spans="1:12" x14ac:dyDescent="0.3">
      <c r="A59" s="1">
        <v>45709</v>
      </c>
      <c r="B59" t="s">
        <v>7</v>
      </c>
      <c r="C59" s="3">
        <v>2.5</v>
      </c>
      <c r="D59" s="3">
        <v>1</v>
      </c>
      <c r="E59" s="3">
        <f t="shared" si="0"/>
        <v>2.5</v>
      </c>
      <c r="F59" s="3" t="s">
        <v>119</v>
      </c>
      <c r="G59">
        <f>VLOOKUP(B59,'Grade Formula'!$A$1:$F$7,2,FALSE)*C59*D59/1000</f>
        <v>0.52500000000000002</v>
      </c>
      <c r="H59">
        <f>VLOOKUP(B59,'Grade Formula'!$A$1:$F$7,4,FALSE)*C59*D59/1000</f>
        <v>1.9325000000000001</v>
      </c>
      <c r="I59">
        <f>VLOOKUP(B59,'Grade Formula'!$A$1:$F$7,6,FALSE)*C59*D59/1000</f>
        <v>1.2250000000000001</v>
      </c>
      <c r="J59">
        <f>VLOOKUP(B59,'Grade Formula'!$A$1:$F$7,5,FALSE)*C59*D59/1000</f>
        <v>1.65</v>
      </c>
      <c r="K59">
        <f>VLOOKUP(B59,'Grade Formula'!$A$1:$F$7,3,FALSE)*C59*D59/1000</f>
        <v>0</v>
      </c>
      <c r="L59">
        <f t="shared" si="1"/>
        <v>8</v>
      </c>
    </row>
    <row r="60" spans="1:12" x14ac:dyDescent="0.3">
      <c r="A60" s="1">
        <v>45710</v>
      </c>
      <c r="B60" t="s">
        <v>4</v>
      </c>
      <c r="C60" s="3">
        <v>6</v>
      </c>
      <c r="D60" s="3">
        <v>1</v>
      </c>
      <c r="E60" s="3">
        <f t="shared" si="0"/>
        <v>6</v>
      </c>
      <c r="F60" s="3" t="s">
        <v>140</v>
      </c>
      <c r="G60">
        <f>VLOOKUP(B60,'Grade Formula'!$A$1:$F$7,2,FALSE)*C60*D60/1000</f>
        <v>1.5</v>
      </c>
      <c r="H60">
        <f>VLOOKUP(B60,'Grade Formula'!$A$1:$F$7,4,FALSE)*C60*D60/1000</f>
        <v>4.8959999999999999</v>
      </c>
      <c r="I60">
        <f>VLOOKUP(B60,'Grade Formula'!$A$1:$F$7,6,FALSE)*C60*D60/1000</f>
        <v>2.8679999999999999</v>
      </c>
      <c r="J60">
        <f>VLOOKUP(B60,'Grade Formula'!$A$1:$F$7,5,FALSE)*C60*D60/1000</f>
        <v>3.516</v>
      </c>
      <c r="K60">
        <f>VLOOKUP(B60,'Grade Formula'!$A$1:$F$7,3,FALSE)*C60*D60/1000</f>
        <v>0.66</v>
      </c>
      <c r="L60">
        <f t="shared" si="1"/>
        <v>8</v>
      </c>
    </row>
    <row r="61" spans="1:12" x14ac:dyDescent="0.3">
      <c r="A61" s="1">
        <v>45710</v>
      </c>
      <c r="B61" t="s">
        <v>5</v>
      </c>
      <c r="C61" s="3">
        <v>7</v>
      </c>
      <c r="D61" s="3">
        <v>1</v>
      </c>
      <c r="E61" s="3">
        <f t="shared" si="0"/>
        <v>7</v>
      </c>
      <c r="F61" s="3" t="s">
        <v>127</v>
      </c>
      <c r="G61">
        <f>VLOOKUP(B61,'Grade Formula'!$A$1:$F$7,2,FALSE)*C61*D61/1000</f>
        <v>2.2400000000000002</v>
      </c>
      <c r="H61">
        <f>VLOOKUP(B61,'Grade Formula'!$A$1:$F$7,4,FALSE)*C61*D61/1000</f>
        <v>4.3959999999999999</v>
      </c>
      <c r="I61">
        <f>VLOOKUP(B61,'Grade Formula'!$A$1:$F$7,6,FALSE)*C61*D61/1000</f>
        <v>3.29</v>
      </c>
      <c r="J61">
        <f>VLOOKUP(B61,'Grade Formula'!$A$1:$F$7,5,FALSE)*C61*D61/1000</f>
        <v>4.2</v>
      </c>
      <c r="K61">
        <f>VLOOKUP(B61,'Grade Formula'!$A$1:$F$7,3,FALSE)*C61*D61/1000</f>
        <v>0.56000000000000005</v>
      </c>
      <c r="L61">
        <f t="shared" si="1"/>
        <v>8</v>
      </c>
    </row>
    <row r="62" spans="1:12" x14ac:dyDescent="0.3">
      <c r="A62" s="1">
        <v>45710</v>
      </c>
      <c r="B62" t="s">
        <v>5</v>
      </c>
      <c r="C62" s="3">
        <v>4</v>
      </c>
      <c r="D62" s="3">
        <v>1</v>
      </c>
      <c r="E62" s="3">
        <f t="shared" si="0"/>
        <v>4</v>
      </c>
      <c r="F62" s="3" t="s">
        <v>127</v>
      </c>
      <c r="G62">
        <f>VLOOKUP(B62,'Grade Formula'!$A$1:$F$7,2,FALSE)*C62*D62/1000</f>
        <v>1.28</v>
      </c>
      <c r="H62">
        <f>VLOOKUP(B62,'Grade Formula'!$A$1:$F$7,4,FALSE)*C62*D62/1000</f>
        <v>2.512</v>
      </c>
      <c r="I62">
        <f>VLOOKUP(B62,'Grade Formula'!$A$1:$F$7,6,FALSE)*C62*D62/1000</f>
        <v>1.88</v>
      </c>
      <c r="J62">
        <f>VLOOKUP(B62,'Grade Formula'!$A$1:$F$7,5,FALSE)*C62*D62/1000</f>
        <v>2.4</v>
      </c>
      <c r="K62">
        <f>VLOOKUP(B62,'Grade Formula'!$A$1:$F$7,3,FALSE)*C62*D62/1000</f>
        <v>0.32</v>
      </c>
      <c r="L62">
        <f t="shared" si="1"/>
        <v>8</v>
      </c>
    </row>
    <row r="63" spans="1:12" x14ac:dyDescent="0.3">
      <c r="A63" s="1">
        <v>45710</v>
      </c>
      <c r="B63" t="s">
        <v>4</v>
      </c>
      <c r="C63" s="3">
        <v>7</v>
      </c>
      <c r="D63" s="3">
        <v>1</v>
      </c>
      <c r="E63" s="3">
        <f t="shared" si="0"/>
        <v>7</v>
      </c>
      <c r="F63" s="3" t="s">
        <v>140</v>
      </c>
      <c r="G63">
        <f>VLOOKUP(B63,'Grade Formula'!$A$1:$F$7,2,FALSE)*C63*D63/1000</f>
        <v>1.75</v>
      </c>
      <c r="H63">
        <f>VLOOKUP(B63,'Grade Formula'!$A$1:$F$7,4,FALSE)*C63*D63/1000</f>
        <v>5.7119999999999997</v>
      </c>
      <c r="I63">
        <f>VLOOKUP(B63,'Grade Formula'!$A$1:$F$7,6,FALSE)*C63*D63/1000</f>
        <v>3.3460000000000001</v>
      </c>
      <c r="J63">
        <f>VLOOKUP(B63,'Grade Formula'!$A$1:$F$7,5,FALSE)*C63*D63/1000</f>
        <v>4.1020000000000003</v>
      </c>
      <c r="K63">
        <f>VLOOKUP(B63,'Grade Formula'!$A$1:$F$7,3,FALSE)*C63*D63/1000</f>
        <v>0.77</v>
      </c>
      <c r="L63">
        <f t="shared" si="1"/>
        <v>8</v>
      </c>
    </row>
    <row r="64" spans="1:12" x14ac:dyDescent="0.3">
      <c r="A64" s="1">
        <v>45710</v>
      </c>
      <c r="B64" t="s">
        <v>5</v>
      </c>
      <c r="C64" s="3">
        <v>6</v>
      </c>
      <c r="D64" s="3">
        <v>2</v>
      </c>
      <c r="E64" s="3">
        <f t="shared" si="0"/>
        <v>12</v>
      </c>
      <c r="F64" s="3" t="s">
        <v>152</v>
      </c>
      <c r="G64">
        <f>VLOOKUP(B64,'Grade Formula'!$A$1:$F$7,2,FALSE)*C64*D64/1000</f>
        <v>3.84</v>
      </c>
      <c r="H64">
        <f>VLOOKUP(B64,'Grade Formula'!$A$1:$F$7,4,FALSE)*C64*D64/1000</f>
        <v>7.5359999999999996</v>
      </c>
      <c r="I64">
        <f>VLOOKUP(B64,'Grade Formula'!$A$1:$F$7,6,FALSE)*C64*D64/1000</f>
        <v>5.64</v>
      </c>
      <c r="J64">
        <f>VLOOKUP(B64,'Grade Formula'!$A$1:$F$7,5,FALSE)*C64*D64/1000</f>
        <v>7.2</v>
      </c>
      <c r="K64">
        <f>VLOOKUP(B64,'Grade Formula'!$A$1:$F$7,3,FALSE)*C64*D64/1000</f>
        <v>0.96</v>
      </c>
      <c r="L64">
        <f t="shared" si="1"/>
        <v>8</v>
      </c>
    </row>
    <row r="65" spans="1:12" x14ac:dyDescent="0.3">
      <c r="A65" s="1">
        <v>45711</v>
      </c>
      <c r="B65" t="s">
        <v>4</v>
      </c>
      <c r="C65" s="3">
        <v>5</v>
      </c>
      <c r="D65" s="3">
        <v>1</v>
      </c>
      <c r="E65" s="3">
        <f t="shared" si="0"/>
        <v>5</v>
      </c>
      <c r="F65" s="3" t="s">
        <v>140</v>
      </c>
      <c r="G65">
        <f>VLOOKUP(B65,'Grade Formula'!$A$1:$F$7,2,FALSE)*C65*D65/1000</f>
        <v>1.25</v>
      </c>
      <c r="H65">
        <f>VLOOKUP(B65,'Grade Formula'!$A$1:$F$7,4,FALSE)*C65*D65/1000</f>
        <v>4.08</v>
      </c>
      <c r="I65">
        <f>VLOOKUP(B65,'Grade Formula'!$A$1:$F$7,6,FALSE)*C65*D65/1000</f>
        <v>2.39</v>
      </c>
      <c r="J65">
        <f>VLOOKUP(B65,'Grade Formula'!$A$1:$F$7,5,FALSE)*C65*D65/1000</f>
        <v>2.93</v>
      </c>
      <c r="K65">
        <f>VLOOKUP(B65,'Grade Formula'!$A$1:$F$7,3,FALSE)*C65*D65/1000</f>
        <v>0.55000000000000004</v>
      </c>
      <c r="L65">
        <f t="shared" si="1"/>
        <v>9</v>
      </c>
    </row>
    <row r="66" spans="1:12" x14ac:dyDescent="0.3">
      <c r="A66" s="1">
        <v>45711</v>
      </c>
      <c r="B66" t="s">
        <v>3</v>
      </c>
      <c r="C66" s="3">
        <v>6</v>
      </c>
      <c r="D66" s="3">
        <v>1</v>
      </c>
      <c r="E66" s="3">
        <f t="shared" si="0"/>
        <v>6</v>
      </c>
      <c r="F66" s="3" t="s">
        <v>119</v>
      </c>
      <c r="G66">
        <f>VLOOKUP(B66,'Grade Formula'!$A$1:$F$7,2,FALSE)*C66*D66/1000</f>
        <v>1.38</v>
      </c>
      <c r="H66">
        <f>VLOOKUP(B66,'Grade Formula'!$A$1:$F$7,4,FALSE)*C66*D66/1000</f>
        <v>4.032</v>
      </c>
      <c r="I66">
        <f>VLOOKUP(B66,'Grade Formula'!$A$1:$F$7,6,FALSE)*C66*D66/1000</f>
        <v>2.82</v>
      </c>
      <c r="J66">
        <f>VLOOKUP(B66,'Grade Formula'!$A$1:$F$7,5,FALSE)*C66*D66/1000</f>
        <v>3.57</v>
      </c>
      <c r="K66">
        <f>VLOOKUP(B66,'Grade Formula'!$A$1:$F$7,3,FALSE)*C66*D66/1000</f>
        <v>0.6</v>
      </c>
      <c r="L66">
        <f t="shared" si="1"/>
        <v>9</v>
      </c>
    </row>
    <row r="67" spans="1:12" x14ac:dyDescent="0.3">
      <c r="A67" s="1">
        <v>45711</v>
      </c>
      <c r="B67" t="s">
        <v>3</v>
      </c>
      <c r="C67" s="3">
        <v>2</v>
      </c>
      <c r="D67" s="3">
        <v>1</v>
      </c>
      <c r="E67" s="3">
        <f t="shared" ref="E67:E130" si="2">C67*D67</f>
        <v>2</v>
      </c>
      <c r="F67" s="3" t="s">
        <v>119</v>
      </c>
      <c r="G67">
        <f>VLOOKUP(B67,'Grade Formula'!$A$1:$F$7,2,FALSE)*C67*D67/1000</f>
        <v>0.46</v>
      </c>
      <c r="H67">
        <f>VLOOKUP(B67,'Grade Formula'!$A$1:$F$7,4,FALSE)*C67*D67/1000</f>
        <v>1.3440000000000001</v>
      </c>
      <c r="I67">
        <f>VLOOKUP(B67,'Grade Formula'!$A$1:$F$7,6,FALSE)*C67*D67/1000</f>
        <v>0.94</v>
      </c>
      <c r="J67">
        <f>VLOOKUP(B67,'Grade Formula'!$A$1:$F$7,5,FALSE)*C67*D67/1000</f>
        <v>1.19</v>
      </c>
      <c r="K67">
        <f>VLOOKUP(B67,'Grade Formula'!$A$1:$F$7,3,FALSE)*C67*D67/1000</f>
        <v>0.2</v>
      </c>
      <c r="L67">
        <f t="shared" ref="L67:L130" si="3">WEEKNUM(A67)</f>
        <v>9</v>
      </c>
    </row>
    <row r="68" spans="1:12" x14ac:dyDescent="0.3">
      <c r="A68" s="1">
        <v>45712</v>
      </c>
      <c r="B68" t="s">
        <v>5</v>
      </c>
      <c r="C68" s="3">
        <v>6</v>
      </c>
      <c r="D68" s="3">
        <v>2</v>
      </c>
      <c r="E68" s="3">
        <f t="shared" si="2"/>
        <v>12</v>
      </c>
      <c r="F68" s="3" t="s">
        <v>88</v>
      </c>
      <c r="G68">
        <f>VLOOKUP(B68,'Grade Formula'!$A$1:$F$7,2,FALSE)*C68*D68/1000</f>
        <v>3.84</v>
      </c>
      <c r="H68">
        <f>VLOOKUP(B68,'Grade Formula'!$A$1:$F$7,4,FALSE)*C68*D68/1000</f>
        <v>7.5359999999999996</v>
      </c>
      <c r="I68">
        <f>VLOOKUP(B68,'Grade Formula'!$A$1:$F$7,6,FALSE)*C68*D68/1000</f>
        <v>5.64</v>
      </c>
      <c r="J68">
        <f>VLOOKUP(B68,'Grade Formula'!$A$1:$F$7,5,FALSE)*C68*D68/1000</f>
        <v>7.2</v>
      </c>
      <c r="K68">
        <f>VLOOKUP(B68,'Grade Formula'!$A$1:$F$7,3,FALSE)*C68*D68/1000</f>
        <v>0.96</v>
      </c>
      <c r="L68">
        <f t="shared" si="3"/>
        <v>9</v>
      </c>
    </row>
    <row r="69" spans="1:12" x14ac:dyDescent="0.3">
      <c r="A69" s="1">
        <v>45712</v>
      </c>
      <c r="B69" t="s">
        <v>3</v>
      </c>
      <c r="C69" s="3">
        <v>4</v>
      </c>
      <c r="D69" s="3">
        <v>1</v>
      </c>
      <c r="E69" s="3">
        <f t="shared" si="2"/>
        <v>4</v>
      </c>
      <c r="F69" s="3" t="s">
        <v>88</v>
      </c>
      <c r="G69">
        <f>VLOOKUP(B69,'Grade Formula'!$A$1:$F$7,2,FALSE)*C69*D69/1000</f>
        <v>0.92</v>
      </c>
      <c r="H69">
        <f>VLOOKUP(B69,'Grade Formula'!$A$1:$F$7,4,FALSE)*C69*D69/1000</f>
        <v>2.6880000000000002</v>
      </c>
      <c r="I69">
        <f>VLOOKUP(B69,'Grade Formula'!$A$1:$F$7,6,FALSE)*C69*D69/1000</f>
        <v>1.88</v>
      </c>
      <c r="J69">
        <f>VLOOKUP(B69,'Grade Formula'!$A$1:$F$7,5,FALSE)*C69*D69/1000</f>
        <v>2.38</v>
      </c>
      <c r="K69">
        <f>VLOOKUP(B69,'Grade Formula'!$A$1:$F$7,3,FALSE)*C69*D69/1000</f>
        <v>0.4</v>
      </c>
      <c r="L69">
        <f t="shared" si="3"/>
        <v>9</v>
      </c>
    </row>
    <row r="70" spans="1:12" x14ac:dyDescent="0.3">
      <c r="A70" s="1">
        <v>45712</v>
      </c>
      <c r="B70" t="s">
        <v>4</v>
      </c>
      <c r="C70" s="3">
        <v>7</v>
      </c>
      <c r="D70" s="3">
        <v>1</v>
      </c>
      <c r="E70" s="3">
        <f t="shared" si="2"/>
        <v>7</v>
      </c>
      <c r="F70" s="3" t="s">
        <v>140</v>
      </c>
      <c r="G70">
        <f>VLOOKUP(B70,'Grade Formula'!$A$1:$F$7,2,FALSE)*C70*D70/1000</f>
        <v>1.75</v>
      </c>
      <c r="H70">
        <f>VLOOKUP(B70,'Grade Formula'!$A$1:$F$7,4,FALSE)*C70*D70/1000</f>
        <v>5.7119999999999997</v>
      </c>
      <c r="I70">
        <f>VLOOKUP(B70,'Grade Formula'!$A$1:$F$7,6,FALSE)*C70*D70/1000</f>
        <v>3.3460000000000001</v>
      </c>
      <c r="J70">
        <f>VLOOKUP(B70,'Grade Formula'!$A$1:$F$7,5,FALSE)*C70*D70/1000</f>
        <v>4.1020000000000003</v>
      </c>
      <c r="K70">
        <f>VLOOKUP(B70,'Grade Formula'!$A$1:$F$7,3,FALSE)*C70*D70/1000</f>
        <v>0.77</v>
      </c>
      <c r="L70">
        <f t="shared" si="3"/>
        <v>9</v>
      </c>
    </row>
    <row r="71" spans="1:12" x14ac:dyDescent="0.3">
      <c r="A71" s="1">
        <v>45713</v>
      </c>
      <c r="B71" t="s">
        <v>3</v>
      </c>
      <c r="C71" s="3">
        <v>4.5</v>
      </c>
      <c r="D71" s="3">
        <v>1</v>
      </c>
      <c r="E71" s="3">
        <f t="shared" si="2"/>
        <v>4.5</v>
      </c>
      <c r="F71" s="3" t="s">
        <v>142</v>
      </c>
      <c r="G71">
        <f>VLOOKUP(B71,'Grade Formula'!$A$1:$F$7,2,FALSE)*C71*D71/1000</f>
        <v>1.0349999999999999</v>
      </c>
      <c r="H71">
        <f>VLOOKUP(B71,'Grade Formula'!$A$1:$F$7,4,FALSE)*C71*D71/1000</f>
        <v>3.024</v>
      </c>
      <c r="I71">
        <f>VLOOKUP(B71,'Grade Formula'!$A$1:$F$7,6,FALSE)*C71*D71/1000</f>
        <v>2.1150000000000002</v>
      </c>
      <c r="J71">
        <f>VLOOKUP(B71,'Grade Formula'!$A$1:$F$7,5,FALSE)*C71*D71/1000</f>
        <v>2.6775000000000002</v>
      </c>
      <c r="K71">
        <f>VLOOKUP(B71,'Grade Formula'!$A$1:$F$7,3,FALSE)*C71*D71/1000</f>
        <v>0.45</v>
      </c>
      <c r="L71">
        <f t="shared" si="3"/>
        <v>9</v>
      </c>
    </row>
    <row r="72" spans="1:12" x14ac:dyDescent="0.3">
      <c r="A72" s="1">
        <v>45713</v>
      </c>
      <c r="B72" t="s">
        <v>3</v>
      </c>
      <c r="C72" s="3">
        <v>3.5</v>
      </c>
      <c r="D72" s="3">
        <v>1</v>
      </c>
      <c r="E72" s="3">
        <f t="shared" si="2"/>
        <v>3.5</v>
      </c>
      <c r="F72" s="3" t="s">
        <v>119</v>
      </c>
      <c r="G72">
        <f>VLOOKUP(B72,'Grade Formula'!$A$1:$F$7,2,FALSE)*C72*D72/1000</f>
        <v>0.80500000000000005</v>
      </c>
      <c r="H72">
        <f>VLOOKUP(B72,'Grade Formula'!$A$1:$F$7,4,FALSE)*C72*D72/1000</f>
        <v>2.3519999999999999</v>
      </c>
      <c r="I72">
        <f>VLOOKUP(B72,'Grade Formula'!$A$1:$F$7,6,FALSE)*C72*D72/1000</f>
        <v>1.645</v>
      </c>
      <c r="J72">
        <f>VLOOKUP(B72,'Grade Formula'!$A$1:$F$7,5,FALSE)*C72*D72/1000</f>
        <v>2.0825</v>
      </c>
      <c r="K72">
        <f>VLOOKUP(B72,'Grade Formula'!$A$1:$F$7,3,FALSE)*C72*D72/1000</f>
        <v>0.35</v>
      </c>
      <c r="L72">
        <f t="shared" si="3"/>
        <v>9</v>
      </c>
    </row>
    <row r="73" spans="1:12" x14ac:dyDescent="0.3">
      <c r="A73" s="1">
        <v>45713</v>
      </c>
      <c r="B73" t="s">
        <v>7</v>
      </c>
      <c r="C73" s="3">
        <v>7</v>
      </c>
      <c r="D73" s="3">
        <v>1</v>
      </c>
      <c r="E73" s="3">
        <f t="shared" si="2"/>
        <v>7</v>
      </c>
      <c r="F73" s="3" t="s">
        <v>113</v>
      </c>
      <c r="G73">
        <f>VLOOKUP(B73,'Grade Formula'!$A$1:$F$7,2,FALSE)*C73*D73/1000</f>
        <v>1.47</v>
      </c>
      <c r="H73">
        <f>VLOOKUP(B73,'Grade Formula'!$A$1:$F$7,4,FALSE)*C73*D73/1000</f>
        <v>5.4109999999999996</v>
      </c>
      <c r="I73">
        <f>VLOOKUP(B73,'Grade Formula'!$A$1:$F$7,6,FALSE)*C73*D73/1000</f>
        <v>3.43</v>
      </c>
      <c r="J73">
        <f>VLOOKUP(B73,'Grade Formula'!$A$1:$F$7,5,FALSE)*C73*D73/1000</f>
        <v>4.62</v>
      </c>
      <c r="K73">
        <f>VLOOKUP(B73,'Grade Formula'!$A$1:$F$7,3,FALSE)*C73*D73/1000</f>
        <v>0</v>
      </c>
      <c r="L73">
        <f t="shared" si="3"/>
        <v>9</v>
      </c>
    </row>
    <row r="74" spans="1:12" x14ac:dyDescent="0.3">
      <c r="A74" s="1">
        <v>45713</v>
      </c>
      <c r="B74" t="s">
        <v>7</v>
      </c>
      <c r="C74" s="3">
        <v>3</v>
      </c>
      <c r="D74" s="3">
        <v>1</v>
      </c>
      <c r="E74" s="3">
        <f t="shared" si="2"/>
        <v>3</v>
      </c>
      <c r="F74" s="3" t="s">
        <v>113</v>
      </c>
      <c r="G74">
        <f>VLOOKUP(B74,'Grade Formula'!$A$1:$F$7,2,FALSE)*C74*D74/1000</f>
        <v>0.63</v>
      </c>
      <c r="H74">
        <f>VLOOKUP(B74,'Grade Formula'!$A$1:$F$7,4,FALSE)*C74*D74/1000</f>
        <v>2.319</v>
      </c>
      <c r="I74">
        <f>VLOOKUP(B74,'Grade Formula'!$A$1:$F$7,6,FALSE)*C74*D74/1000</f>
        <v>1.47</v>
      </c>
      <c r="J74">
        <f>VLOOKUP(B74,'Grade Formula'!$A$1:$F$7,5,FALSE)*C74*D74/1000</f>
        <v>1.98</v>
      </c>
      <c r="K74">
        <f>VLOOKUP(B74,'Grade Formula'!$A$1:$F$7,3,FALSE)*C74*D74/1000</f>
        <v>0</v>
      </c>
      <c r="L74">
        <f t="shared" si="3"/>
        <v>9</v>
      </c>
    </row>
    <row r="75" spans="1:12" x14ac:dyDescent="0.3">
      <c r="A75" s="1">
        <v>45714</v>
      </c>
      <c r="B75" t="s">
        <v>3</v>
      </c>
      <c r="C75" s="3">
        <v>2.5</v>
      </c>
      <c r="D75" s="3">
        <v>1</v>
      </c>
      <c r="E75" s="3">
        <f t="shared" si="2"/>
        <v>2.5</v>
      </c>
      <c r="F75" s="3" t="s">
        <v>119</v>
      </c>
      <c r="G75">
        <f>VLOOKUP(B75,'Grade Formula'!$A$1:$F$7,2,FALSE)*C75*D75/1000</f>
        <v>0.57499999999999996</v>
      </c>
      <c r="H75">
        <f>VLOOKUP(B75,'Grade Formula'!$A$1:$F$7,4,FALSE)*C75*D75/1000</f>
        <v>1.68</v>
      </c>
      <c r="I75">
        <f>VLOOKUP(B75,'Grade Formula'!$A$1:$F$7,6,FALSE)*C75*D75/1000</f>
        <v>1.175</v>
      </c>
      <c r="J75">
        <f>VLOOKUP(B75,'Grade Formula'!$A$1:$F$7,5,FALSE)*C75*D75/1000</f>
        <v>1.4875</v>
      </c>
      <c r="K75">
        <f>VLOOKUP(B75,'Grade Formula'!$A$1:$F$7,3,FALSE)*C75*D75/1000</f>
        <v>0.25</v>
      </c>
      <c r="L75">
        <f t="shared" si="3"/>
        <v>9</v>
      </c>
    </row>
    <row r="76" spans="1:12" x14ac:dyDescent="0.3">
      <c r="A76" s="1">
        <v>45714</v>
      </c>
      <c r="B76" t="s">
        <v>5</v>
      </c>
      <c r="C76" s="3">
        <v>6</v>
      </c>
      <c r="D76" s="3">
        <v>1</v>
      </c>
      <c r="E76" s="3">
        <f t="shared" si="2"/>
        <v>6</v>
      </c>
      <c r="F76" s="3" t="s">
        <v>152</v>
      </c>
      <c r="G76">
        <f>VLOOKUP(B76,'Grade Formula'!$A$1:$F$7,2,FALSE)*C76*D76/1000</f>
        <v>1.92</v>
      </c>
      <c r="H76">
        <f>VLOOKUP(B76,'Grade Formula'!$A$1:$F$7,4,FALSE)*C76*D76/1000</f>
        <v>3.7679999999999998</v>
      </c>
      <c r="I76">
        <f>VLOOKUP(B76,'Grade Formula'!$A$1:$F$7,6,FALSE)*C76*D76/1000</f>
        <v>2.82</v>
      </c>
      <c r="J76">
        <f>VLOOKUP(B76,'Grade Formula'!$A$1:$F$7,5,FALSE)*C76*D76/1000</f>
        <v>3.6</v>
      </c>
      <c r="K76">
        <f>VLOOKUP(B76,'Grade Formula'!$A$1:$F$7,3,FALSE)*C76*D76/1000</f>
        <v>0.48</v>
      </c>
      <c r="L76">
        <f t="shared" si="3"/>
        <v>9</v>
      </c>
    </row>
    <row r="77" spans="1:12" x14ac:dyDescent="0.3">
      <c r="A77" s="1">
        <v>45714</v>
      </c>
      <c r="B77" t="s">
        <v>6</v>
      </c>
      <c r="C77" s="3">
        <v>7</v>
      </c>
      <c r="D77" s="3">
        <v>5</v>
      </c>
      <c r="E77" s="3">
        <f t="shared" si="2"/>
        <v>35</v>
      </c>
      <c r="F77" s="3" t="s">
        <v>84</v>
      </c>
      <c r="G77">
        <f>VLOOKUP(B77,'Grade Formula'!$A$1:$F$7,2,FALSE)*C77*D77/1000</f>
        <v>9.1</v>
      </c>
      <c r="H77">
        <f>VLOOKUP(B77,'Grade Formula'!$A$1:$F$7,4,FALSE)*C77*D77/1000</f>
        <v>25.094999999999999</v>
      </c>
      <c r="I77">
        <f>VLOOKUP(B77,'Grade Formula'!$A$1:$F$7,6,FALSE)*C77*D77/1000</f>
        <v>16.8</v>
      </c>
      <c r="J77">
        <f>VLOOKUP(B77,'Grade Formula'!$A$1:$F$7,5,FALSE)*C77*D77/1000</f>
        <v>22.05</v>
      </c>
      <c r="K77">
        <f>VLOOKUP(B77,'Grade Formula'!$A$1:$F$7,3,FALSE)*C77*D77/1000</f>
        <v>0</v>
      </c>
      <c r="L77">
        <f t="shared" si="3"/>
        <v>9</v>
      </c>
    </row>
    <row r="78" spans="1:12" x14ac:dyDescent="0.3">
      <c r="A78" s="1">
        <v>45714</v>
      </c>
      <c r="B78" t="s">
        <v>6</v>
      </c>
      <c r="C78" s="3">
        <v>6</v>
      </c>
      <c r="D78" s="3">
        <v>1</v>
      </c>
      <c r="E78" s="3">
        <f t="shared" si="2"/>
        <v>6</v>
      </c>
      <c r="F78" s="3" t="s">
        <v>84</v>
      </c>
      <c r="G78">
        <f>VLOOKUP(B78,'Grade Formula'!$A$1:$F$7,2,FALSE)*C78*D78/1000</f>
        <v>1.56</v>
      </c>
      <c r="H78">
        <f>VLOOKUP(B78,'Grade Formula'!$A$1:$F$7,4,FALSE)*C78*D78/1000</f>
        <v>4.3019999999999996</v>
      </c>
      <c r="I78">
        <f>VLOOKUP(B78,'Grade Formula'!$A$1:$F$7,6,FALSE)*C78*D78/1000</f>
        <v>2.88</v>
      </c>
      <c r="J78">
        <f>VLOOKUP(B78,'Grade Formula'!$A$1:$F$7,5,FALSE)*C78*D78/1000</f>
        <v>3.78</v>
      </c>
      <c r="K78">
        <f>VLOOKUP(B78,'Grade Formula'!$A$1:$F$7,3,FALSE)*C78*D78/1000</f>
        <v>0</v>
      </c>
      <c r="L78">
        <f t="shared" si="3"/>
        <v>9</v>
      </c>
    </row>
    <row r="79" spans="1:12" x14ac:dyDescent="0.3">
      <c r="A79" s="1">
        <v>45714</v>
      </c>
      <c r="B79" t="s">
        <v>5</v>
      </c>
      <c r="C79" s="3">
        <v>4</v>
      </c>
      <c r="D79" s="3">
        <v>1</v>
      </c>
      <c r="E79" s="3">
        <f t="shared" si="2"/>
        <v>4</v>
      </c>
      <c r="F79" s="3" t="s">
        <v>127</v>
      </c>
      <c r="G79">
        <f>VLOOKUP(B79,'Grade Formula'!$A$1:$F$7,2,FALSE)*C79*D79/1000</f>
        <v>1.28</v>
      </c>
      <c r="H79">
        <f>VLOOKUP(B79,'Grade Formula'!$A$1:$F$7,4,FALSE)*C79*D79/1000</f>
        <v>2.512</v>
      </c>
      <c r="I79">
        <f>VLOOKUP(B79,'Grade Formula'!$A$1:$F$7,6,FALSE)*C79*D79/1000</f>
        <v>1.88</v>
      </c>
      <c r="J79">
        <f>VLOOKUP(B79,'Grade Formula'!$A$1:$F$7,5,FALSE)*C79*D79/1000</f>
        <v>2.4</v>
      </c>
      <c r="K79">
        <f>VLOOKUP(B79,'Grade Formula'!$A$1:$F$7,3,FALSE)*C79*D79/1000</f>
        <v>0.32</v>
      </c>
      <c r="L79">
        <f t="shared" si="3"/>
        <v>9</v>
      </c>
    </row>
    <row r="80" spans="1:12" x14ac:dyDescent="0.3">
      <c r="A80" s="1">
        <v>45715</v>
      </c>
      <c r="B80" t="s">
        <v>6</v>
      </c>
      <c r="C80" s="3">
        <v>7</v>
      </c>
      <c r="D80" s="3">
        <v>5</v>
      </c>
      <c r="E80" s="3">
        <f t="shared" si="2"/>
        <v>35</v>
      </c>
      <c r="F80" s="3" t="s">
        <v>84</v>
      </c>
      <c r="G80">
        <f>VLOOKUP(B80,'Grade Formula'!$A$1:$F$7,2,FALSE)*C80*D80/1000</f>
        <v>9.1</v>
      </c>
      <c r="H80">
        <f>VLOOKUP(B80,'Grade Formula'!$A$1:$F$7,4,FALSE)*C80*D80/1000</f>
        <v>25.094999999999999</v>
      </c>
      <c r="I80">
        <f>VLOOKUP(B80,'Grade Formula'!$A$1:$F$7,6,FALSE)*C80*D80/1000</f>
        <v>16.8</v>
      </c>
      <c r="J80">
        <f>VLOOKUP(B80,'Grade Formula'!$A$1:$F$7,5,FALSE)*C80*D80/1000</f>
        <v>22.05</v>
      </c>
      <c r="K80">
        <f>VLOOKUP(B80,'Grade Formula'!$A$1:$F$7,3,FALSE)*C80*D80/1000</f>
        <v>0</v>
      </c>
      <c r="L80">
        <f t="shared" si="3"/>
        <v>9</v>
      </c>
    </row>
    <row r="81" spans="1:12" x14ac:dyDescent="0.3">
      <c r="A81" s="1">
        <v>45715</v>
      </c>
      <c r="B81" t="s">
        <v>6</v>
      </c>
      <c r="C81" s="3">
        <v>6</v>
      </c>
      <c r="D81" s="3">
        <v>1</v>
      </c>
      <c r="E81" s="3">
        <f t="shared" si="2"/>
        <v>6</v>
      </c>
      <c r="F81" s="3" t="s">
        <v>84</v>
      </c>
      <c r="G81">
        <f>VLOOKUP(B81,'Grade Formula'!$A$1:$F$7,2,FALSE)*C81*D81/1000</f>
        <v>1.56</v>
      </c>
      <c r="H81">
        <f>VLOOKUP(B81,'Grade Formula'!$A$1:$F$7,4,FALSE)*C81*D81/1000</f>
        <v>4.3019999999999996</v>
      </c>
      <c r="I81">
        <f>VLOOKUP(B81,'Grade Formula'!$A$1:$F$7,6,FALSE)*C81*D81/1000</f>
        <v>2.88</v>
      </c>
      <c r="J81">
        <f>VLOOKUP(B81,'Grade Formula'!$A$1:$F$7,5,FALSE)*C81*D81/1000</f>
        <v>3.78</v>
      </c>
      <c r="K81">
        <f>VLOOKUP(B81,'Grade Formula'!$A$1:$F$7,3,FALSE)*C81*D81/1000</f>
        <v>0</v>
      </c>
      <c r="L81">
        <f t="shared" si="3"/>
        <v>9</v>
      </c>
    </row>
    <row r="82" spans="1:12" x14ac:dyDescent="0.3">
      <c r="A82" s="1">
        <v>45716</v>
      </c>
      <c r="B82" t="s">
        <v>6</v>
      </c>
      <c r="C82" s="3">
        <v>7</v>
      </c>
      <c r="D82" s="3">
        <v>6</v>
      </c>
      <c r="E82" s="3">
        <f t="shared" si="2"/>
        <v>42</v>
      </c>
      <c r="F82" s="3" t="s">
        <v>84</v>
      </c>
      <c r="G82">
        <f>VLOOKUP(B82,'Grade Formula'!$A$1:$F$7,2,FALSE)*C82*D82/1000</f>
        <v>10.92</v>
      </c>
      <c r="H82">
        <f>VLOOKUP(B82,'Grade Formula'!$A$1:$F$7,4,FALSE)*C82*D82/1000</f>
        <v>30.114000000000001</v>
      </c>
      <c r="I82">
        <f>VLOOKUP(B82,'Grade Formula'!$A$1:$F$7,6,FALSE)*C82*D82/1000</f>
        <v>20.16</v>
      </c>
      <c r="J82">
        <f>VLOOKUP(B82,'Grade Formula'!$A$1:$F$7,5,FALSE)*C82*D82/1000</f>
        <v>26.46</v>
      </c>
      <c r="K82">
        <f>VLOOKUP(B82,'Grade Formula'!$A$1:$F$7,3,FALSE)*C82*D82/1000</f>
        <v>0</v>
      </c>
      <c r="L82">
        <f t="shared" si="3"/>
        <v>9</v>
      </c>
    </row>
    <row r="83" spans="1:12" x14ac:dyDescent="0.3">
      <c r="A83" s="1">
        <v>45716</v>
      </c>
      <c r="B83" t="s">
        <v>6</v>
      </c>
      <c r="C83" s="3">
        <v>7</v>
      </c>
      <c r="D83" s="3">
        <v>1</v>
      </c>
      <c r="E83" s="3">
        <f t="shared" si="2"/>
        <v>7</v>
      </c>
      <c r="F83" s="3" t="s">
        <v>140</v>
      </c>
      <c r="G83">
        <f>VLOOKUP(B83,'Grade Formula'!$A$1:$F$7,2,FALSE)*C83*D83/1000</f>
        <v>1.82</v>
      </c>
      <c r="H83">
        <f>VLOOKUP(B83,'Grade Formula'!$A$1:$F$7,4,FALSE)*C83*D83/1000</f>
        <v>5.0190000000000001</v>
      </c>
      <c r="I83">
        <f>VLOOKUP(B83,'Grade Formula'!$A$1:$F$7,6,FALSE)*C83*D83/1000</f>
        <v>3.36</v>
      </c>
      <c r="J83">
        <f>VLOOKUP(B83,'Grade Formula'!$A$1:$F$7,5,FALSE)*C83*D83/1000</f>
        <v>4.41</v>
      </c>
      <c r="K83">
        <f>VLOOKUP(B83,'Grade Formula'!$A$1:$F$7,3,FALSE)*C83*D83/1000</f>
        <v>0</v>
      </c>
      <c r="L83">
        <f t="shared" si="3"/>
        <v>9</v>
      </c>
    </row>
    <row r="84" spans="1:12" x14ac:dyDescent="0.3">
      <c r="A84" s="1">
        <v>45717</v>
      </c>
      <c r="B84" t="s">
        <v>6</v>
      </c>
      <c r="C84" s="3">
        <v>7</v>
      </c>
      <c r="D84" s="3">
        <v>8</v>
      </c>
      <c r="E84" s="3">
        <f t="shared" si="2"/>
        <v>56</v>
      </c>
      <c r="F84" s="3" t="s">
        <v>84</v>
      </c>
      <c r="G84">
        <f>VLOOKUP(B84,'Grade Formula'!$A$1:$F$7,2,FALSE)*C84*D84/1000</f>
        <v>14.56</v>
      </c>
      <c r="H84">
        <f>VLOOKUP(B84,'Grade Formula'!$A$1:$F$7,4,FALSE)*C84*D84/1000</f>
        <v>40.152000000000001</v>
      </c>
      <c r="I84">
        <f>VLOOKUP(B84,'Grade Formula'!$A$1:$F$7,6,FALSE)*C84*D84/1000</f>
        <v>26.88</v>
      </c>
      <c r="J84">
        <f>VLOOKUP(B84,'Grade Formula'!$A$1:$F$7,5,FALSE)*C84*D84/1000</f>
        <v>35.28</v>
      </c>
      <c r="K84">
        <f>VLOOKUP(B84,'Grade Formula'!$A$1:$F$7,3,FALSE)*C84*D84/1000</f>
        <v>0</v>
      </c>
      <c r="L84">
        <f t="shared" si="3"/>
        <v>9</v>
      </c>
    </row>
    <row r="85" spans="1:12" x14ac:dyDescent="0.3">
      <c r="A85" s="1">
        <v>45717</v>
      </c>
      <c r="B85" t="s">
        <v>4</v>
      </c>
      <c r="C85" s="3">
        <v>7</v>
      </c>
      <c r="D85" s="3">
        <v>2</v>
      </c>
      <c r="E85" s="3">
        <f t="shared" si="2"/>
        <v>14</v>
      </c>
      <c r="F85" s="3" t="s">
        <v>140</v>
      </c>
      <c r="G85">
        <f>VLOOKUP(B85,'Grade Formula'!$A$1:$F$7,2,FALSE)*C85*D85/1000</f>
        <v>3.5</v>
      </c>
      <c r="H85">
        <f>VLOOKUP(B85,'Grade Formula'!$A$1:$F$7,4,FALSE)*C85*D85/1000</f>
        <v>11.423999999999999</v>
      </c>
      <c r="I85">
        <f>VLOOKUP(B85,'Grade Formula'!$A$1:$F$7,6,FALSE)*C85*D85/1000</f>
        <v>6.6920000000000002</v>
      </c>
      <c r="J85">
        <f>VLOOKUP(B85,'Grade Formula'!$A$1:$F$7,5,FALSE)*C85*D85/1000</f>
        <v>8.2040000000000006</v>
      </c>
      <c r="K85">
        <f>VLOOKUP(B85,'Grade Formula'!$A$1:$F$7,3,FALSE)*C85*D85/1000</f>
        <v>1.54</v>
      </c>
      <c r="L85">
        <f t="shared" si="3"/>
        <v>9</v>
      </c>
    </row>
    <row r="86" spans="1:12" x14ac:dyDescent="0.3">
      <c r="A86" s="1">
        <v>45718</v>
      </c>
      <c r="B86" t="s">
        <v>6</v>
      </c>
      <c r="C86" s="3">
        <v>7</v>
      </c>
      <c r="D86" s="3">
        <v>5</v>
      </c>
      <c r="E86" s="3">
        <f t="shared" si="2"/>
        <v>35</v>
      </c>
      <c r="F86" s="3" t="s">
        <v>84</v>
      </c>
      <c r="G86">
        <f>VLOOKUP(B86,'Grade Formula'!$A$1:$F$7,2,FALSE)*C86*D86/1000</f>
        <v>9.1</v>
      </c>
      <c r="H86">
        <f>VLOOKUP(B86,'Grade Formula'!$A$1:$F$7,4,FALSE)*C86*D86/1000</f>
        <v>25.094999999999999</v>
      </c>
      <c r="I86">
        <f>VLOOKUP(B86,'Grade Formula'!$A$1:$F$7,6,FALSE)*C86*D86/1000</f>
        <v>16.8</v>
      </c>
      <c r="J86">
        <f>VLOOKUP(B86,'Grade Formula'!$A$1:$F$7,5,FALSE)*C86*D86/1000</f>
        <v>22.05</v>
      </c>
      <c r="K86">
        <f>VLOOKUP(B86,'Grade Formula'!$A$1:$F$7,3,FALSE)*C86*D86/1000</f>
        <v>0</v>
      </c>
      <c r="L86">
        <f t="shared" si="3"/>
        <v>10</v>
      </c>
    </row>
    <row r="87" spans="1:12" x14ac:dyDescent="0.3">
      <c r="A87" s="1">
        <v>45719</v>
      </c>
      <c r="B87" t="s">
        <v>5</v>
      </c>
      <c r="C87" s="3">
        <v>7</v>
      </c>
      <c r="D87" s="3">
        <v>3</v>
      </c>
      <c r="E87" s="3">
        <f t="shared" si="2"/>
        <v>21</v>
      </c>
      <c r="F87" s="3" t="s">
        <v>148</v>
      </c>
      <c r="G87">
        <f>VLOOKUP(B87,'Grade Formula'!$A$1:$F$7,2,FALSE)*C87*D87/1000</f>
        <v>6.72</v>
      </c>
      <c r="H87">
        <f>VLOOKUP(B87,'Grade Formula'!$A$1:$F$7,4,FALSE)*C87*D87/1000</f>
        <v>13.188000000000001</v>
      </c>
      <c r="I87">
        <f>VLOOKUP(B87,'Grade Formula'!$A$1:$F$7,6,FALSE)*C87*D87/1000</f>
        <v>9.8699999999999992</v>
      </c>
      <c r="J87">
        <f>VLOOKUP(B87,'Grade Formula'!$A$1:$F$7,5,FALSE)*C87*D87/1000</f>
        <v>12.6</v>
      </c>
      <c r="K87">
        <f>VLOOKUP(B87,'Grade Formula'!$A$1:$F$7,3,FALSE)*C87*D87/1000</f>
        <v>1.68</v>
      </c>
      <c r="L87">
        <f t="shared" si="3"/>
        <v>10</v>
      </c>
    </row>
    <row r="88" spans="1:12" x14ac:dyDescent="0.3">
      <c r="A88" s="1">
        <v>45720</v>
      </c>
      <c r="B88" t="s">
        <v>5</v>
      </c>
      <c r="C88" s="3">
        <v>6</v>
      </c>
      <c r="D88" s="3">
        <v>3</v>
      </c>
      <c r="E88" s="3">
        <f t="shared" si="2"/>
        <v>18</v>
      </c>
      <c r="F88" s="3" t="s">
        <v>122</v>
      </c>
      <c r="G88">
        <f>VLOOKUP(B88,'Grade Formula'!$A$1:$F$7,2,FALSE)*C88*D88/1000</f>
        <v>5.76</v>
      </c>
      <c r="H88">
        <f>VLOOKUP(B88,'Grade Formula'!$A$1:$F$7,4,FALSE)*C88*D88/1000</f>
        <v>11.304</v>
      </c>
      <c r="I88">
        <f>VLOOKUP(B88,'Grade Formula'!$A$1:$F$7,6,FALSE)*C88*D88/1000</f>
        <v>8.4600000000000009</v>
      </c>
      <c r="J88">
        <f>VLOOKUP(B88,'Grade Formula'!$A$1:$F$7,5,FALSE)*C88*D88/1000</f>
        <v>10.8</v>
      </c>
      <c r="K88">
        <f>VLOOKUP(B88,'Grade Formula'!$A$1:$F$7,3,FALSE)*C88*D88/1000</f>
        <v>1.44</v>
      </c>
      <c r="L88">
        <f t="shared" si="3"/>
        <v>10</v>
      </c>
    </row>
    <row r="89" spans="1:12" x14ac:dyDescent="0.3">
      <c r="A89" s="1">
        <v>45720</v>
      </c>
      <c r="B89" t="s">
        <v>4</v>
      </c>
      <c r="C89" s="3">
        <v>7</v>
      </c>
      <c r="D89" s="3">
        <v>4</v>
      </c>
      <c r="E89" s="3">
        <f t="shared" si="2"/>
        <v>28</v>
      </c>
      <c r="F89" s="3" t="s">
        <v>140</v>
      </c>
      <c r="G89">
        <f>VLOOKUP(B89,'Grade Formula'!$A$1:$F$7,2,FALSE)*C89*D89/1000</f>
        <v>7</v>
      </c>
      <c r="H89">
        <f>VLOOKUP(B89,'Grade Formula'!$A$1:$F$7,4,FALSE)*C89*D89/1000</f>
        <v>22.847999999999999</v>
      </c>
      <c r="I89">
        <f>VLOOKUP(B89,'Grade Formula'!$A$1:$F$7,6,FALSE)*C89*D89/1000</f>
        <v>13.384</v>
      </c>
      <c r="J89">
        <f>VLOOKUP(B89,'Grade Formula'!$A$1:$F$7,5,FALSE)*C89*D89/1000</f>
        <v>16.408000000000001</v>
      </c>
      <c r="K89">
        <f>VLOOKUP(B89,'Grade Formula'!$A$1:$F$7,3,FALSE)*C89*D89/1000</f>
        <v>3.08</v>
      </c>
      <c r="L89">
        <f t="shared" si="3"/>
        <v>10</v>
      </c>
    </row>
    <row r="90" spans="1:12" x14ac:dyDescent="0.3">
      <c r="A90" s="1">
        <v>45722</v>
      </c>
      <c r="B90" t="s">
        <v>5</v>
      </c>
      <c r="C90" s="3">
        <v>7</v>
      </c>
      <c r="D90" s="3">
        <v>1</v>
      </c>
      <c r="E90" s="3">
        <f t="shared" si="2"/>
        <v>7</v>
      </c>
      <c r="F90" s="3" t="s">
        <v>149</v>
      </c>
      <c r="G90">
        <f>VLOOKUP(B90,'Grade Formula'!$A$1:$F$7,2,FALSE)*C90*D90/1000</f>
        <v>2.2400000000000002</v>
      </c>
      <c r="H90">
        <f>VLOOKUP(B90,'Grade Formula'!$A$1:$F$7,4,FALSE)*C90*D90/1000</f>
        <v>4.3959999999999999</v>
      </c>
      <c r="I90">
        <f>VLOOKUP(B90,'Grade Formula'!$A$1:$F$7,6,FALSE)*C90*D90/1000</f>
        <v>3.29</v>
      </c>
      <c r="J90">
        <f>VLOOKUP(B90,'Grade Formula'!$A$1:$F$7,5,FALSE)*C90*D90/1000</f>
        <v>4.2</v>
      </c>
      <c r="K90">
        <f>VLOOKUP(B90,'Grade Formula'!$A$1:$F$7,3,FALSE)*C90*D90/1000</f>
        <v>0.56000000000000005</v>
      </c>
      <c r="L90">
        <f t="shared" si="3"/>
        <v>10</v>
      </c>
    </row>
    <row r="91" spans="1:12" ht="11.4" customHeight="1" x14ac:dyDescent="0.3">
      <c r="A91" s="1">
        <v>45722</v>
      </c>
      <c r="B91" t="s">
        <v>4</v>
      </c>
      <c r="C91" s="3">
        <v>7</v>
      </c>
      <c r="D91" s="3">
        <v>5</v>
      </c>
      <c r="E91" s="3">
        <f t="shared" si="2"/>
        <v>35</v>
      </c>
      <c r="F91" s="3" t="s">
        <v>153</v>
      </c>
      <c r="G91">
        <f>VLOOKUP(B91,'Grade Formula'!$A$1:$F$7,2,FALSE)*C91*D91/1000</f>
        <v>8.75</v>
      </c>
      <c r="H91">
        <f>VLOOKUP(B91,'Grade Formula'!$A$1:$F$7,4,FALSE)*C91*D91/1000</f>
        <v>28.56</v>
      </c>
      <c r="I91">
        <f>VLOOKUP(B91,'Grade Formula'!$A$1:$F$7,6,FALSE)*C91*D91/1000</f>
        <v>16.73</v>
      </c>
      <c r="J91">
        <f>VLOOKUP(B91,'Grade Formula'!$A$1:$F$7,5,FALSE)*C91*D91/1000</f>
        <v>20.51</v>
      </c>
      <c r="K91">
        <f>VLOOKUP(B91,'Grade Formula'!$A$1:$F$7,3,FALSE)*C91*D91/1000</f>
        <v>3.85</v>
      </c>
      <c r="L91">
        <f t="shared" si="3"/>
        <v>10</v>
      </c>
    </row>
    <row r="92" spans="1:12" x14ac:dyDescent="0.3">
      <c r="A92" s="1">
        <v>45723</v>
      </c>
      <c r="B92" t="s">
        <v>4</v>
      </c>
      <c r="C92" s="3">
        <v>7</v>
      </c>
      <c r="D92" s="3">
        <v>3</v>
      </c>
      <c r="E92" s="3">
        <f t="shared" si="2"/>
        <v>21</v>
      </c>
      <c r="F92" s="3" t="s">
        <v>153</v>
      </c>
      <c r="G92">
        <f>VLOOKUP(B92,'Grade Formula'!$A$1:$F$7,2,FALSE)*C92*D92/1000</f>
        <v>5.25</v>
      </c>
      <c r="H92">
        <f>VLOOKUP(B92,'Grade Formula'!$A$1:$F$7,4,FALSE)*C92*D92/1000</f>
        <v>17.135999999999999</v>
      </c>
      <c r="I92">
        <f>VLOOKUP(B92,'Grade Formula'!$A$1:$F$7,6,FALSE)*C92*D92/1000</f>
        <v>10.038</v>
      </c>
      <c r="J92">
        <f>VLOOKUP(B92,'Grade Formula'!$A$1:$F$7,5,FALSE)*C92*D92/1000</f>
        <v>12.305999999999999</v>
      </c>
      <c r="K92">
        <f>VLOOKUP(B92,'Grade Formula'!$A$1:$F$7,3,FALSE)*C92*D92/1000</f>
        <v>2.31</v>
      </c>
      <c r="L92">
        <f t="shared" si="3"/>
        <v>10</v>
      </c>
    </row>
    <row r="93" spans="1:12" x14ac:dyDescent="0.3">
      <c r="A93" s="1">
        <v>45723</v>
      </c>
      <c r="B93" t="s">
        <v>3</v>
      </c>
      <c r="C93" s="3">
        <v>8.5</v>
      </c>
      <c r="D93" s="3">
        <v>1</v>
      </c>
      <c r="E93" s="3">
        <f t="shared" si="2"/>
        <v>8.5</v>
      </c>
      <c r="F93" s="3" t="s">
        <v>84</v>
      </c>
      <c r="G93">
        <f>VLOOKUP(B93,'Grade Formula'!$A$1:$F$7,2,FALSE)*C93*D93/1000</f>
        <v>1.9550000000000001</v>
      </c>
      <c r="H93">
        <f>VLOOKUP(B93,'Grade Formula'!$A$1:$F$7,4,FALSE)*C93*D93/1000</f>
        <v>5.7119999999999997</v>
      </c>
      <c r="I93">
        <f>VLOOKUP(B93,'Grade Formula'!$A$1:$F$7,6,FALSE)*C93*D93/1000</f>
        <v>3.9950000000000001</v>
      </c>
      <c r="J93">
        <f>VLOOKUP(B93,'Grade Formula'!$A$1:$F$7,5,FALSE)*C93*D93/1000</f>
        <v>5.0575000000000001</v>
      </c>
      <c r="K93">
        <f>VLOOKUP(B93,'Grade Formula'!$A$1:$F$7,3,FALSE)*C93*D93/1000</f>
        <v>0.85</v>
      </c>
      <c r="L93">
        <f t="shared" si="3"/>
        <v>10</v>
      </c>
    </row>
    <row r="94" spans="1:12" x14ac:dyDescent="0.3">
      <c r="A94" s="1">
        <v>45723</v>
      </c>
      <c r="B94" t="s">
        <v>5</v>
      </c>
      <c r="C94" s="3">
        <v>6.5</v>
      </c>
      <c r="D94" s="3">
        <v>5</v>
      </c>
      <c r="E94" s="3">
        <f t="shared" si="2"/>
        <v>32.5</v>
      </c>
      <c r="F94" s="3" t="s">
        <v>139</v>
      </c>
      <c r="G94">
        <f>VLOOKUP(B94,'Grade Formula'!$A$1:$F$7,2,FALSE)*C94*D94/1000</f>
        <v>10.4</v>
      </c>
      <c r="H94">
        <f>VLOOKUP(B94,'Grade Formula'!$A$1:$F$7,4,FALSE)*C94*D94/1000</f>
        <v>20.41</v>
      </c>
      <c r="I94">
        <f>VLOOKUP(B94,'Grade Formula'!$A$1:$F$7,6,FALSE)*C94*D94/1000</f>
        <v>15.275</v>
      </c>
      <c r="J94">
        <f>VLOOKUP(B94,'Grade Formula'!$A$1:$F$7,5,FALSE)*C94*D94/1000</f>
        <v>19.5</v>
      </c>
      <c r="K94">
        <f>VLOOKUP(B94,'Grade Formula'!$A$1:$F$7,3,FALSE)*C94*D94/1000</f>
        <v>2.6</v>
      </c>
      <c r="L94">
        <f t="shared" si="3"/>
        <v>10</v>
      </c>
    </row>
    <row r="95" spans="1:12" x14ac:dyDescent="0.3">
      <c r="A95" s="1">
        <v>45724</v>
      </c>
      <c r="B95" t="s">
        <v>5</v>
      </c>
      <c r="C95" s="3">
        <v>6</v>
      </c>
      <c r="D95" s="3">
        <v>1</v>
      </c>
      <c r="E95" s="3">
        <f t="shared" si="2"/>
        <v>6</v>
      </c>
      <c r="F95" s="3" t="s">
        <v>139</v>
      </c>
      <c r="G95">
        <f>VLOOKUP(B95,'Grade Formula'!$A$1:$F$7,2,FALSE)*C95*D95/1000</f>
        <v>1.92</v>
      </c>
      <c r="H95">
        <f>VLOOKUP(B95,'Grade Formula'!$A$1:$F$7,4,FALSE)*C95*D95/1000</f>
        <v>3.7679999999999998</v>
      </c>
      <c r="I95">
        <f>VLOOKUP(B95,'Grade Formula'!$A$1:$F$7,6,FALSE)*C95*D95/1000</f>
        <v>2.82</v>
      </c>
      <c r="J95">
        <f>VLOOKUP(B95,'Grade Formula'!$A$1:$F$7,5,FALSE)*C95*D95/1000</f>
        <v>3.6</v>
      </c>
      <c r="K95">
        <f>VLOOKUP(B95,'Grade Formula'!$A$1:$F$7,3,FALSE)*C95*D95/1000</f>
        <v>0.48</v>
      </c>
      <c r="L95">
        <f t="shared" si="3"/>
        <v>10</v>
      </c>
    </row>
    <row r="96" spans="1:12" x14ac:dyDescent="0.3">
      <c r="A96" s="1">
        <v>45724</v>
      </c>
      <c r="B96" t="s">
        <v>5</v>
      </c>
      <c r="C96" s="3">
        <v>6.5</v>
      </c>
      <c r="D96" s="3">
        <v>1</v>
      </c>
      <c r="E96" s="3">
        <f t="shared" si="2"/>
        <v>6.5</v>
      </c>
      <c r="F96" s="3" t="s">
        <v>139</v>
      </c>
      <c r="G96">
        <f>VLOOKUP(B96,'Grade Formula'!$A$1:$F$7,2,FALSE)*C96*D96/1000</f>
        <v>2.08</v>
      </c>
      <c r="H96">
        <f>VLOOKUP(B96,'Grade Formula'!$A$1:$F$7,4,FALSE)*C96*D96/1000</f>
        <v>4.0819999999999999</v>
      </c>
      <c r="I96">
        <f>VLOOKUP(B96,'Grade Formula'!$A$1:$F$7,6,FALSE)*C96*D96/1000</f>
        <v>3.0550000000000002</v>
      </c>
      <c r="J96">
        <f>VLOOKUP(B96,'Grade Formula'!$A$1:$F$7,5,FALSE)*C96*D96/1000</f>
        <v>3.9</v>
      </c>
      <c r="K96">
        <f>VLOOKUP(B96,'Grade Formula'!$A$1:$F$7,3,FALSE)*C96*D96/1000</f>
        <v>0.52</v>
      </c>
      <c r="L96">
        <f t="shared" si="3"/>
        <v>10</v>
      </c>
    </row>
    <row r="97" spans="1:12" x14ac:dyDescent="0.3">
      <c r="A97" s="1">
        <v>45724</v>
      </c>
      <c r="B97" t="s">
        <v>5</v>
      </c>
      <c r="C97" s="3">
        <v>7</v>
      </c>
      <c r="D97" s="3">
        <v>3</v>
      </c>
      <c r="E97" s="3">
        <f t="shared" si="2"/>
        <v>21</v>
      </c>
      <c r="F97" s="3" t="s">
        <v>127</v>
      </c>
      <c r="G97">
        <f>VLOOKUP(B97,'Grade Formula'!$A$1:$F$7,2,FALSE)*C97*D97/1000</f>
        <v>6.72</v>
      </c>
      <c r="H97">
        <f>VLOOKUP(B97,'Grade Formula'!$A$1:$F$7,4,FALSE)*C97*D97/1000</f>
        <v>13.188000000000001</v>
      </c>
      <c r="I97">
        <f>VLOOKUP(B97,'Grade Formula'!$A$1:$F$7,6,FALSE)*C97*D97/1000</f>
        <v>9.8699999999999992</v>
      </c>
      <c r="J97">
        <f>VLOOKUP(B97,'Grade Formula'!$A$1:$F$7,5,FALSE)*C97*D97/1000</f>
        <v>12.6</v>
      </c>
      <c r="K97">
        <f>VLOOKUP(B97,'Grade Formula'!$A$1:$F$7,3,FALSE)*C97*D97/1000</f>
        <v>1.68</v>
      </c>
      <c r="L97">
        <f t="shared" si="3"/>
        <v>10</v>
      </c>
    </row>
    <row r="98" spans="1:12" x14ac:dyDescent="0.3">
      <c r="A98" s="1">
        <v>45724</v>
      </c>
      <c r="B98" t="s">
        <v>7</v>
      </c>
      <c r="C98" s="3">
        <v>3</v>
      </c>
      <c r="D98" s="3">
        <v>1</v>
      </c>
      <c r="E98" s="3">
        <f t="shared" si="2"/>
        <v>3</v>
      </c>
      <c r="F98" s="3" t="s">
        <v>113</v>
      </c>
      <c r="G98">
        <f>VLOOKUP(B98,'Grade Formula'!$A$1:$F$7,2,FALSE)*C98*D98/1000</f>
        <v>0.63</v>
      </c>
      <c r="H98">
        <f>VLOOKUP(B98,'Grade Formula'!$A$1:$F$7,4,FALSE)*C98*D98/1000</f>
        <v>2.319</v>
      </c>
      <c r="I98">
        <f>VLOOKUP(B98,'Grade Formula'!$A$1:$F$7,6,FALSE)*C98*D98/1000</f>
        <v>1.47</v>
      </c>
      <c r="J98">
        <f>VLOOKUP(B98,'Grade Formula'!$A$1:$F$7,5,FALSE)*C98*D98/1000</f>
        <v>1.98</v>
      </c>
      <c r="K98">
        <f>VLOOKUP(B98,'Grade Formula'!$A$1:$F$7,3,FALSE)*C98*D98/1000</f>
        <v>0</v>
      </c>
      <c r="L98">
        <f t="shared" si="3"/>
        <v>10</v>
      </c>
    </row>
    <row r="99" spans="1:12" x14ac:dyDescent="0.3">
      <c r="A99" s="1">
        <v>45724</v>
      </c>
      <c r="B99" t="s">
        <v>4</v>
      </c>
      <c r="C99" s="3">
        <v>7</v>
      </c>
      <c r="D99" s="3">
        <v>1</v>
      </c>
      <c r="E99" s="3">
        <f t="shared" si="2"/>
        <v>7</v>
      </c>
      <c r="F99" s="3" t="s">
        <v>140</v>
      </c>
      <c r="G99">
        <f>VLOOKUP(B99,'Grade Formula'!$A$1:$F$7,2,FALSE)*C99*D99/1000</f>
        <v>1.75</v>
      </c>
      <c r="H99">
        <f>VLOOKUP(B99,'Grade Formula'!$A$1:$F$7,4,FALSE)*C99*D99/1000</f>
        <v>5.7119999999999997</v>
      </c>
      <c r="I99">
        <f>VLOOKUP(B99,'Grade Formula'!$A$1:$F$7,6,FALSE)*C99*D99/1000</f>
        <v>3.3460000000000001</v>
      </c>
      <c r="J99">
        <f>VLOOKUP(B99,'Grade Formula'!$A$1:$F$7,5,FALSE)*C99*D99/1000</f>
        <v>4.1020000000000003</v>
      </c>
      <c r="K99">
        <f>VLOOKUP(B99,'Grade Formula'!$A$1:$F$7,3,FALSE)*C99*D99/1000</f>
        <v>0.77</v>
      </c>
      <c r="L99">
        <f t="shared" si="3"/>
        <v>10</v>
      </c>
    </row>
    <row r="100" spans="1:12" x14ac:dyDescent="0.3">
      <c r="A100" s="1">
        <v>45724</v>
      </c>
      <c r="B100" t="s">
        <v>6</v>
      </c>
      <c r="C100" s="3">
        <v>7</v>
      </c>
      <c r="D100" s="3">
        <v>1</v>
      </c>
      <c r="E100" s="3">
        <f t="shared" si="2"/>
        <v>7</v>
      </c>
      <c r="F100" s="3" t="s">
        <v>84</v>
      </c>
      <c r="G100">
        <f>VLOOKUP(B100,'Grade Formula'!$A$1:$F$7,2,FALSE)*C100*D100/1000</f>
        <v>1.82</v>
      </c>
      <c r="H100">
        <f>VLOOKUP(B100,'Grade Formula'!$A$1:$F$7,4,FALSE)*C100*D100/1000</f>
        <v>5.0190000000000001</v>
      </c>
      <c r="I100">
        <f>VLOOKUP(B100,'Grade Formula'!$A$1:$F$7,6,FALSE)*C100*D100/1000</f>
        <v>3.36</v>
      </c>
      <c r="J100">
        <f>VLOOKUP(B100,'Grade Formula'!$A$1:$F$7,5,FALSE)*C100*D100/1000</f>
        <v>4.41</v>
      </c>
      <c r="K100">
        <f>VLOOKUP(B100,'Grade Formula'!$A$1:$F$7,3,FALSE)*C100*D100/1000</f>
        <v>0</v>
      </c>
      <c r="L100">
        <f t="shared" si="3"/>
        <v>10</v>
      </c>
    </row>
    <row r="101" spans="1:12" x14ac:dyDescent="0.3">
      <c r="A101" s="1">
        <v>45725</v>
      </c>
      <c r="B101" t="s">
        <v>3</v>
      </c>
      <c r="C101" s="3">
        <v>6.5</v>
      </c>
      <c r="D101" s="3">
        <v>3</v>
      </c>
      <c r="E101" s="3">
        <f t="shared" si="2"/>
        <v>19.5</v>
      </c>
      <c r="F101" s="3" t="s">
        <v>129</v>
      </c>
      <c r="G101">
        <f>VLOOKUP(B101,'Grade Formula'!$A$1:$F$7,2,FALSE)*C101*D101/1000</f>
        <v>4.4850000000000003</v>
      </c>
      <c r="H101">
        <f>VLOOKUP(B101,'Grade Formula'!$A$1:$F$7,4,FALSE)*C101*D101/1000</f>
        <v>13.103999999999999</v>
      </c>
      <c r="I101">
        <f>VLOOKUP(B101,'Grade Formula'!$A$1:$F$7,6,FALSE)*C101*D101/1000</f>
        <v>9.1649999999999991</v>
      </c>
      <c r="J101">
        <f>VLOOKUP(B101,'Grade Formula'!$A$1:$F$7,5,FALSE)*C101*D101/1000</f>
        <v>11.602499999999999</v>
      </c>
      <c r="K101">
        <f>VLOOKUP(B101,'Grade Formula'!$A$1:$F$7,3,FALSE)*C101*D101/1000</f>
        <v>1.95</v>
      </c>
      <c r="L101">
        <f t="shared" si="3"/>
        <v>11</v>
      </c>
    </row>
    <row r="102" spans="1:12" x14ac:dyDescent="0.3">
      <c r="A102" s="1">
        <v>45725</v>
      </c>
      <c r="B102" t="s">
        <v>3</v>
      </c>
      <c r="C102" s="3">
        <v>6.25</v>
      </c>
      <c r="D102" s="3">
        <v>2</v>
      </c>
      <c r="E102" s="3">
        <f t="shared" si="2"/>
        <v>12.5</v>
      </c>
      <c r="F102" s="3" t="s">
        <v>129</v>
      </c>
      <c r="G102">
        <f>VLOOKUP(B102,'Grade Formula'!$A$1:$F$7,2,FALSE)*C102*D102/1000</f>
        <v>2.875</v>
      </c>
      <c r="H102">
        <f>VLOOKUP(B102,'Grade Formula'!$A$1:$F$7,4,FALSE)*C102*D102/1000</f>
        <v>8.4</v>
      </c>
      <c r="I102">
        <f>VLOOKUP(B102,'Grade Formula'!$A$1:$F$7,6,FALSE)*C102*D102/1000</f>
        <v>5.875</v>
      </c>
      <c r="J102">
        <f>VLOOKUP(B102,'Grade Formula'!$A$1:$F$7,5,FALSE)*C102*D102/1000</f>
        <v>7.4375</v>
      </c>
      <c r="K102">
        <f>VLOOKUP(B102,'Grade Formula'!$A$1:$F$7,3,FALSE)*C102*D102/1000</f>
        <v>1.25</v>
      </c>
      <c r="L102">
        <f t="shared" si="3"/>
        <v>11</v>
      </c>
    </row>
    <row r="103" spans="1:12" x14ac:dyDescent="0.3">
      <c r="A103" s="1">
        <v>45725</v>
      </c>
      <c r="B103" t="s">
        <v>3</v>
      </c>
      <c r="C103" s="3">
        <v>3</v>
      </c>
      <c r="D103" s="3">
        <v>1</v>
      </c>
      <c r="E103" s="3">
        <f t="shared" si="2"/>
        <v>3</v>
      </c>
      <c r="F103" s="3" t="s">
        <v>129</v>
      </c>
      <c r="G103">
        <f>VLOOKUP(B103,'Grade Formula'!$A$1:$F$7,2,FALSE)*C103*D103/1000</f>
        <v>0.69</v>
      </c>
      <c r="H103">
        <f>VLOOKUP(B103,'Grade Formula'!$A$1:$F$7,4,FALSE)*C103*D103/1000</f>
        <v>2.016</v>
      </c>
      <c r="I103">
        <f>VLOOKUP(B103,'Grade Formula'!$A$1:$F$7,6,FALSE)*C103*D103/1000</f>
        <v>1.41</v>
      </c>
      <c r="J103">
        <f>VLOOKUP(B103,'Grade Formula'!$A$1:$F$7,5,FALSE)*C103*D103/1000</f>
        <v>1.7849999999999999</v>
      </c>
      <c r="K103">
        <f>VLOOKUP(B103,'Grade Formula'!$A$1:$F$7,3,FALSE)*C103*D103/1000</f>
        <v>0.3</v>
      </c>
      <c r="L103">
        <f t="shared" si="3"/>
        <v>11</v>
      </c>
    </row>
    <row r="104" spans="1:12" x14ac:dyDescent="0.3">
      <c r="A104" s="1">
        <v>45726</v>
      </c>
      <c r="B104" t="s">
        <v>5</v>
      </c>
      <c r="C104" s="3">
        <v>4</v>
      </c>
      <c r="D104" s="3">
        <v>1</v>
      </c>
      <c r="E104" s="3">
        <f t="shared" si="2"/>
        <v>4</v>
      </c>
      <c r="F104" s="3" t="s">
        <v>129</v>
      </c>
      <c r="G104">
        <f>VLOOKUP(B104,'Grade Formula'!$A$1:$F$7,2,FALSE)*C104*D104/1000</f>
        <v>1.28</v>
      </c>
      <c r="H104">
        <f>VLOOKUP(B104,'Grade Formula'!$A$1:$F$7,4,FALSE)*C104*D104/1000</f>
        <v>2.512</v>
      </c>
      <c r="I104">
        <f>VLOOKUP(B104,'Grade Formula'!$A$1:$F$7,6,FALSE)*C104*D104/1000</f>
        <v>1.88</v>
      </c>
      <c r="J104">
        <f>VLOOKUP(B104,'Grade Formula'!$A$1:$F$7,5,FALSE)*C104*D104/1000</f>
        <v>2.4</v>
      </c>
      <c r="K104">
        <f>VLOOKUP(B104,'Grade Formula'!$A$1:$F$7,3,FALSE)*C104*D104/1000</f>
        <v>0.32</v>
      </c>
      <c r="L104">
        <f t="shared" si="3"/>
        <v>11</v>
      </c>
    </row>
    <row r="105" spans="1:12" x14ac:dyDescent="0.3">
      <c r="A105" s="1">
        <v>45727</v>
      </c>
      <c r="B105" t="s">
        <v>4</v>
      </c>
      <c r="C105" s="3">
        <v>7</v>
      </c>
      <c r="D105" s="3">
        <v>1</v>
      </c>
      <c r="E105" s="3">
        <f t="shared" si="2"/>
        <v>7</v>
      </c>
      <c r="F105" s="3" t="s">
        <v>140</v>
      </c>
      <c r="G105">
        <f>VLOOKUP(B105,'Grade Formula'!$A$1:$F$7,2,FALSE)*C105*D105/1000</f>
        <v>1.75</v>
      </c>
      <c r="H105">
        <f>VLOOKUP(B105,'Grade Formula'!$A$1:$F$7,4,FALSE)*C105*D105/1000</f>
        <v>5.7119999999999997</v>
      </c>
      <c r="I105">
        <f>VLOOKUP(B105,'Grade Formula'!$A$1:$F$7,6,FALSE)*C105*D105/1000</f>
        <v>3.3460000000000001</v>
      </c>
      <c r="J105">
        <f>VLOOKUP(B105,'Grade Formula'!$A$1:$F$7,5,FALSE)*C105*D105/1000</f>
        <v>4.1020000000000003</v>
      </c>
      <c r="K105">
        <f>VLOOKUP(B105,'Grade Formula'!$A$1:$F$7,3,FALSE)*C105*D105/1000</f>
        <v>0.77</v>
      </c>
      <c r="L105">
        <f t="shared" si="3"/>
        <v>11</v>
      </c>
    </row>
    <row r="106" spans="1:12" x14ac:dyDescent="0.3">
      <c r="A106" s="1">
        <v>45727</v>
      </c>
      <c r="B106" t="s">
        <v>3</v>
      </c>
      <c r="C106" s="3">
        <v>8</v>
      </c>
      <c r="D106" s="3">
        <v>2</v>
      </c>
      <c r="E106" s="3">
        <f t="shared" si="2"/>
        <v>16</v>
      </c>
      <c r="F106" s="3" t="s">
        <v>117</v>
      </c>
      <c r="G106">
        <f>VLOOKUP(B106,'Grade Formula'!$A$1:$F$7,2,FALSE)*C106*D106/1000</f>
        <v>3.68</v>
      </c>
      <c r="H106">
        <f>VLOOKUP(B106,'Grade Formula'!$A$1:$F$7,4,FALSE)*C106*D106/1000</f>
        <v>10.752000000000001</v>
      </c>
      <c r="I106">
        <f>VLOOKUP(B106,'Grade Formula'!$A$1:$F$7,6,FALSE)*C106*D106/1000</f>
        <v>7.52</v>
      </c>
      <c r="J106">
        <f>VLOOKUP(B106,'Grade Formula'!$A$1:$F$7,5,FALSE)*C106*D106/1000</f>
        <v>9.52</v>
      </c>
      <c r="K106">
        <f>VLOOKUP(B106,'Grade Formula'!$A$1:$F$7,3,FALSE)*C106*D106/1000</f>
        <v>1.6</v>
      </c>
      <c r="L106">
        <f t="shared" si="3"/>
        <v>11</v>
      </c>
    </row>
    <row r="107" spans="1:12" x14ac:dyDescent="0.3">
      <c r="A107" s="1">
        <v>45729</v>
      </c>
      <c r="B107" t="s">
        <v>4</v>
      </c>
      <c r="C107" s="3">
        <v>5</v>
      </c>
      <c r="D107" s="3">
        <v>1</v>
      </c>
      <c r="E107" s="3">
        <f t="shared" si="2"/>
        <v>5</v>
      </c>
      <c r="F107" s="3" t="s">
        <v>140</v>
      </c>
      <c r="G107">
        <f>VLOOKUP(B107,'Grade Formula'!$A$1:$F$7,2,FALSE)*C107*D107/1000</f>
        <v>1.25</v>
      </c>
      <c r="H107">
        <f>VLOOKUP(B107,'Grade Formula'!$A$1:$F$7,4,FALSE)*C107*D107/1000</f>
        <v>4.08</v>
      </c>
      <c r="I107">
        <f>VLOOKUP(B107,'Grade Formula'!$A$1:$F$7,6,FALSE)*C107*D107/1000</f>
        <v>2.39</v>
      </c>
      <c r="J107">
        <f>VLOOKUP(B107,'Grade Formula'!$A$1:$F$7,5,FALSE)*C107*D107/1000</f>
        <v>2.93</v>
      </c>
      <c r="K107">
        <f>VLOOKUP(B107,'Grade Formula'!$A$1:$F$7,3,FALSE)*C107*D107/1000</f>
        <v>0.55000000000000004</v>
      </c>
      <c r="L107">
        <f t="shared" si="3"/>
        <v>11</v>
      </c>
    </row>
    <row r="108" spans="1:12" x14ac:dyDescent="0.3">
      <c r="A108" s="1">
        <v>45730</v>
      </c>
      <c r="B108" t="s">
        <v>3</v>
      </c>
      <c r="C108" s="3">
        <v>3.5</v>
      </c>
      <c r="D108" s="3">
        <v>1</v>
      </c>
      <c r="E108" s="3">
        <f t="shared" si="2"/>
        <v>3.5</v>
      </c>
      <c r="F108" s="3" t="s">
        <v>98</v>
      </c>
      <c r="G108">
        <f>VLOOKUP(B108,'Grade Formula'!$A$1:$F$7,2,FALSE)*C108*D108/1000</f>
        <v>0.80500000000000005</v>
      </c>
      <c r="H108">
        <f>VLOOKUP(B108,'Grade Formula'!$A$1:$F$7,4,FALSE)*C108*D108/1000</f>
        <v>2.3519999999999999</v>
      </c>
      <c r="I108">
        <f>VLOOKUP(B108,'Grade Formula'!$A$1:$F$7,6,FALSE)*C108*D108/1000</f>
        <v>1.645</v>
      </c>
      <c r="J108">
        <f>VLOOKUP(B108,'Grade Formula'!$A$1:$F$7,5,FALSE)*C108*D108/1000</f>
        <v>2.0825</v>
      </c>
      <c r="K108">
        <f>VLOOKUP(B108,'Grade Formula'!$A$1:$F$7,3,FALSE)*C108*D108/1000</f>
        <v>0.35</v>
      </c>
      <c r="L108">
        <f t="shared" si="3"/>
        <v>11</v>
      </c>
    </row>
    <row r="109" spans="1:12" x14ac:dyDescent="0.3">
      <c r="A109" s="1">
        <v>45730</v>
      </c>
      <c r="B109" t="s">
        <v>3</v>
      </c>
      <c r="C109" s="3">
        <v>6.5</v>
      </c>
      <c r="D109" s="3">
        <v>8</v>
      </c>
      <c r="E109" s="3">
        <f t="shared" si="2"/>
        <v>52</v>
      </c>
      <c r="F109" s="3" t="s">
        <v>98</v>
      </c>
      <c r="G109">
        <f>VLOOKUP(B109,'Grade Formula'!$A$1:$F$7,2,FALSE)*C109*D109/1000</f>
        <v>11.96</v>
      </c>
      <c r="H109">
        <f>VLOOKUP(B109,'Grade Formula'!$A$1:$F$7,4,FALSE)*C109*D109/1000</f>
        <v>34.944000000000003</v>
      </c>
      <c r="I109">
        <f>VLOOKUP(B109,'Grade Formula'!$A$1:$F$7,6,FALSE)*C109*D109/1000</f>
        <v>24.44</v>
      </c>
      <c r="J109">
        <f>VLOOKUP(B109,'Grade Formula'!$A$1:$F$7,5,FALSE)*C109*D109/1000</f>
        <v>30.94</v>
      </c>
      <c r="K109">
        <f>VLOOKUP(B109,'Grade Formula'!$A$1:$F$7,3,FALSE)*C109*D109/1000</f>
        <v>5.2</v>
      </c>
      <c r="L109">
        <f t="shared" si="3"/>
        <v>11</v>
      </c>
    </row>
    <row r="110" spans="1:12" x14ac:dyDescent="0.3">
      <c r="A110" s="1">
        <v>45732</v>
      </c>
      <c r="B110" t="s">
        <v>3</v>
      </c>
      <c r="C110" s="3">
        <v>7</v>
      </c>
      <c r="D110" s="3">
        <v>5</v>
      </c>
      <c r="E110" s="3">
        <f t="shared" si="2"/>
        <v>35</v>
      </c>
      <c r="F110" s="3" t="s">
        <v>95</v>
      </c>
      <c r="G110">
        <f>VLOOKUP(B110,'Grade Formula'!$A$1:$F$7,2,FALSE)*C110*D110/1000</f>
        <v>8.0500000000000007</v>
      </c>
      <c r="H110">
        <f>VLOOKUP(B110,'Grade Formula'!$A$1:$F$7,4,FALSE)*C110*D110/1000</f>
        <v>23.52</v>
      </c>
      <c r="I110">
        <f>VLOOKUP(B110,'Grade Formula'!$A$1:$F$7,6,FALSE)*C110*D110/1000</f>
        <v>16.45</v>
      </c>
      <c r="J110">
        <f>VLOOKUP(B110,'Grade Formula'!$A$1:$F$7,5,FALSE)*C110*D110/1000</f>
        <v>20.824999999999999</v>
      </c>
      <c r="K110">
        <f>VLOOKUP(B110,'Grade Formula'!$A$1:$F$7,3,FALSE)*C110*D110/1000</f>
        <v>3.5</v>
      </c>
      <c r="L110">
        <f t="shared" si="3"/>
        <v>12</v>
      </c>
    </row>
    <row r="111" spans="1:12" x14ac:dyDescent="0.3">
      <c r="A111" s="1">
        <v>45732</v>
      </c>
      <c r="B111" t="s">
        <v>3</v>
      </c>
      <c r="C111" s="3">
        <v>3</v>
      </c>
      <c r="D111" s="3">
        <v>1</v>
      </c>
      <c r="E111" s="3">
        <f t="shared" si="2"/>
        <v>3</v>
      </c>
      <c r="F111" s="3" t="s">
        <v>95</v>
      </c>
      <c r="G111">
        <f>VLOOKUP(B111,'Grade Formula'!$A$1:$F$7,2,FALSE)*C111*D111/1000</f>
        <v>0.69</v>
      </c>
      <c r="H111">
        <f>VLOOKUP(B111,'Grade Formula'!$A$1:$F$7,4,FALSE)*C111*D111/1000</f>
        <v>2.016</v>
      </c>
      <c r="I111">
        <f>VLOOKUP(B111,'Grade Formula'!$A$1:$F$7,6,FALSE)*C111*D111/1000</f>
        <v>1.41</v>
      </c>
      <c r="J111">
        <f>VLOOKUP(B111,'Grade Formula'!$A$1:$F$7,5,FALSE)*C111*D111/1000</f>
        <v>1.7849999999999999</v>
      </c>
      <c r="K111">
        <f>VLOOKUP(B111,'Grade Formula'!$A$1:$F$7,3,FALSE)*C111*D111/1000</f>
        <v>0.3</v>
      </c>
      <c r="L111">
        <f t="shared" si="3"/>
        <v>12</v>
      </c>
    </row>
    <row r="112" spans="1:12" x14ac:dyDescent="0.3">
      <c r="A112" s="1">
        <v>45732</v>
      </c>
      <c r="B112" t="s">
        <v>3</v>
      </c>
      <c r="C112" s="3">
        <v>4</v>
      </c>
      <c r="D112" s="3">
        <v>1</v>
      </c>
      <c r="E112" s="3">
        <f t="shared" si="2"/>
        <v>4</v>
      </c>
      <c r="F112" s="3" t="s">
        <v>95</v>
      </c>
      <c r="G112">
        <f>VLOOKUP(B112,'Grade Formula'!$A$1:$F$7,2,FALSE)*C112*D112/1000</f>
        <v>0.92</v>
      </c>
      <c r="H112">
        <f>VLOOKUP(B112,'Grade Formula'!$A$1:$F$7,4,FALSE)*C112*D112/1000</f>
        <v>2.6880000000000002</v>
      </c>
      <c r="I112">
        <f>VLOOKUP(B112,'Grade Formula'!$A$1:$F$7,6,FALSE)*C112*D112/1000</f>
        <v>1.88</v>
      </c>
      <c r="J112">
        <f>VLOOKUP(B112,'Grade Formula'!$A$1:$F$7,5,FALSE)*C112*D112/1000</f>
        <v>2.38</v>
      </c>
      <c r="K112">
        <f>VLOOKUP(B112,'Grade Formula'!$A$1:$F$7,3,FALSE)*C112*D112/1000</f>
        <v>0.4</v>
      </c>
      <c r="L112">
        <f t="shared" si="3"/>
        <v>12</v>
      </c>
    </row>
    <row r="113" spans="1:12" x14ac:dyDescent="0.3">
      <c r="A113" s="1">
        <v>45732</v>
      </c>
      <c r="B113" t="s">
        <v>7</v>
      </c>
      <c r="C113" s="3">
        <v>7</v>
      </c>
      <c r="D113" s="3">
        <v>2</v>
      </c>
      <c r="E113" s="3">
        <f t="shared" si="2"/>
        <v>14</v>
      </c>
      <c r="F113" s="3" t="s">
        <v>119</v>
      </c>
      <c r="G113">
        <f>VLOOKUP(B113,'Grade Formula'!$A$1:$F$7,2,FALSE)*C113*D113/1000</f>
        <v>2.94</v>
      </c>
      <c r="H113">
        <f>VLOOKUP(B113,'Grade Formula'!$A$1:$F$7,4,FALSE)*C113*D113/1000</f>
        <v>10.821999999999999</v>
      </c>
      <c r="I113">
        <f>VLOOKUP(B113,'Grade Formula'!$A$1:$F$7,6,FALSE)*C113*D113/1000</f>
        <v>6.86</v>
      </c>
      <c r="J113">
        <f>VLOOKUP(B113,'Grade Formula'!$A$1:$F$7,5,FALSE)*C113*D113/1000</f>
        <v>9.24</v>
      </c>
      <c r="K113">
        <f>VLOOKUP(B113,'Grade Formula'!$A$1:$F$7,3,FALSE)*C113*D113/1000</f>
        <v>0</v>
      </c>
      <c r="L113">
        <f t="shared" si="3"/>
        <v>12</v>
      </c>
    </row>
    <row r="114" spans="1:12" x14ac:dyDescent="0.3">
      <c r="A114" s="1">
        <v>45732</v>
      </c>
      <c r="B114" t="s">
        <v>4</v>
      </c>
      <c r="C114" s="3">
        <v>7</v>
      </c>
      <c r="D114" s="3">
        <v>1</v>
      </c>
      <c r="E114" s="3">
        <f t="shared" si="2"/>
        <v>7</v>
      </c>
      <c r="F114" s="3" t="s">
        <v>140</v>
      </c>
      <c r="G114">
        <f>VLOOKUP(B114,'Grade Formula'!$A$1:$F$7,2,FALSE)*C114*D114/1000</f>
        <v>1.75</v>
      </c>
      <c r="H114">
        <f>VLOOKUP(B114,'Grade Formula'!$A$1:$F$7,4,FALSE)*C114*D114/1000</f>
        <v>5.7119999999999997</v>
      </c>
      <c r="I114">
        <f>VLOOKUP(B114,'Grade Formula'!$A$1:$F$7,6,FALSE)*C114*D114/1000</f>
        <v>3.3460000000000001</v>
      </c>
      <c r="J114">
        <f>VLOOKUP(B114,'Grade Formula'!$A$1:$F$7,5,FALSE)*C114*D114/1000</f>
        <v>4.1020000000000003</v>
      </c>
      <c r="K114">
        <f>VLOOKUP(B114,'Grade Formula'!$A$1:$F$7,3,FALSE)*C114*D114/1000</f>
        <v>0.77</v>
      </c>
      <c r="L114">
        <f t="shared" si="3"/>
        <v>12</v>
      </c>
    </row>
    <row r="115" spans="1:12" x14ac:dyDescent="0.3">
      <c r="A115" s="1">
        <v>45732</v>
      </c>
      <c r="B115" t="s">
        <v>3</v>
      </c>
      <c r="C115" s="3">
        <v>7</v>
      </c>
      <c r="D115" s="3">
        <v>1</v>
      </c>
      <c r="E115" s="3">
        <f t="shared" si="2"/>
        <v>7</v>
      </c>
      <c r="F115" s="3" t="s">
        <v>88</v>
      </c>
      <c r="G115">
        <f>VLOOKUP(B115,'Grade Formula'!$A$1:$F$7,2,FALSE)*C115*D115/1000</f>
        <v>1.61</v>
      </c>
      <c r="H115">
        <f>VLOOKUP(B115,'Grade Formula'!$A$1:$F$7,4,FALSE)*C115*D115/1000</f>
        <v>4.7039999999999997</v>
      </c>
      <c r="I115">
        <f>VLOOKUP(B115,'Grade Formula'!$A$1:$F$7,6,FALSE)*C115*D115/1000</f>
        <v>3.29</v>
      </c>
      <c r="J115">
        <f>VLOOKUP(B115,'Grade Formula'!$A$1:$F$7,5,FALSE)*C115*D115/1000</f>
        <v>4.165</v>
      </c>
      <c r="K115">
        <f>VLOOKUP(B115,'Grade Formula'!$A$1:$F$7,3,FALSE)*C115*D115/1000</f>
        <v>0.7</v>
      </c>
      <c r="L115">
        <f t="shared" si="3"/>
        <v>12</v>
      </c>
    </row>
    <row r="116" spans="1:12" x14ac:dyDescent="0.3">
      <c r="A116" s="1">
        <v>45732</v>
      </c>
      <c r="B116" t="s">
        <v>3</v>
      </c>
      <c r="C116" s="3">
        <v>5</v>
      </c>
      <c r="D116" s="3">
        <v>1</v>
      </c>
      <c r="E116" s="3">
        <f t="shared" si="2"/>
        <v>5</v>
      </c>
      <c r="F116" s="3" t="s">
        <v>88</v>
      </c>
      <c r="G116">
        <f>VLOOKUP(B116,'Grade Formula'!$A$1:$F$7,2,FALSE)*C116*D116/1000</f>
        <v>1.1499999999999999</v>
      </c>
      <c r="H116">
        <f>VLOOKUP(B116,'Grade Formula'!$A$1:$F$7,4,FALSE)*C116*D116/1000</f>
        <v>3.36</v>
      </c>
      <c r="I116">
        <f>VLOOKUP(B116,'Grade Formula'!$A$1:$F$7,6,FALSE)*C116*D116/1000</f>
        <v>2.35</v>
      </c>
      <c r="J116">
        <f>VLOOKUP(B116,'Grade Formula'!$A$1:$F$7,5,FALSE)*C116*D116/1000</f>
        <v>2.9750000000000001</v>
      </c>
      <c r="K116">
        <f>VLOOKUP(B116,'Grade Formula'!$A$1:$F$7,3,FALSE)*C116*D116/1000</f>
        <v>0.5</v>
      </c>
      <c r="L116">
        <f t="shared" si="3"/>
        <v>12</v>
      </c>
    </row>
    <row r="117" spans="1:12" x14ac:dyDescent="0.3">
      <c r="A117" s="1">
        <v>45733</v>
      </c>
      <c r="B117" t="s">
        <v>3</v>
      </c>
      <c r="C117" s="3">
        <v>7</v>
      </c>
      <c r="D117" s="3">
        <v>1</v>
      </c>
      <c r="E117" s="3">
        <f t="shared" si="2"/>
        <v>7</v>
      </c>
      <c r="F117" s="3" t="s">
        <v>146</v>
      </c>
      <c r="G117">
        <f>VLOOKUP(B117,'Grade Formula'!$A$1:$F$7,2,FALSE)*C117*D117/1000</f>
        <v>1.61</v>
      </c>
      <c r="H117">
        <f>VLOOKUP(B117,'Grade Formula'!$A$1:$F$7,4,FALSE)*C117*D117/1000</f>
        <v>4.7039999999999997</v>
      </c>
      <c r="I117">
        <f>VLOOKUP(B117,'Grade Formula'!$A$1:$F$7,6,FALSE)*C117*D117/1000</f>
        <v>3.29</v>
      </c>
      <c r="J117">
        <f>VLOOKUP(B117,'Grade Formula'!$A$1:$F$7,5,FALSE)*C117*D117/1000</f>
        <v>4.165</v>
      </c>
      <c r="K117">
        <f>VLOOKUP(B117,'Grade Formula'!$A$1:$F$7,3,FALSE)*C117*D117/1000</f>
        <v>0.7</v>
      </c>
      <c r="L117">
        <f t="shared" si="3"/>
        <v>12</v>
      </c>
    </row>
    <row r="118" spans="1:12" x14ac:dyDescent="0.3">
      <c r="A118" s="1">
        <v>45733</v>
      </c>
      <c r="B118" t="s">
        <v>3</v>
      </c>
      <c r="C118" s="3">
        <v>6</v>
      </c>
      <c r="D118" s="3">
        <v>1</v>
      </c>
      <c r="E118" s="3">
        <f t="shared" si="2"/>
        <v>6</v>
      </c>
      <c r="F118" s="3" t="s">
        <v>146</v>
      </c>
      <c r="G118">
        <f>VLOOKUP(B118,'Grade Formula'!$A$1:$F$7,2,FALSE)*C118*D118/1000</f>
        <v>1.38</v>
      </c>
      <c r="H118">
        <f>VLOOKUP(B118,'Grade Formula'!$A$1:$F$7,4,FALSE)*C118*D118/1000</f>
        <v>4.032</v>
      </c>
      <c r="I118">
        <f>VLOOKUP(B118,'Grade Formula'!$A$1:$F$7,6,FALSE)*C118*D118/1000</f>
        <v>2.82</v>
      </c>
      <c r="J118">
        <f>VLOOKUP(B118,'Grade Formula'!$A$1:$F$7,5,FALSE)*C118*D118/1000</f>
        <v>3.57</v>
      </c>
      <c r="K118">
        <f>VLOOKUP(B118,'Grade Formula'!$A$1:$F$7,3,FALSE)*C118*D118/1000</f>
        <v>0.6</v>
      </c>
      <c r="L118">
        <f t="shared" si="3"/>
        <v>12</v>
      </c>
    </row>
    <row r="119" spans="1:12" x14ac:dyDescent="0.3">
      <c r="A119" s="1">
        <v>45733</v>
      </c>
      <c r="B119" t="s">
        <v>3</v>
      </c>
      <c r="C119" s="3">
        <v>5.5</v>
      </c>
      <c r="D119" s="3">
        <v>1</v>
      </c>
      <c r="E119" s="3">
        <f t="shared" si="2"/>
        <v>5.5</v>
      </c>
      <c r="F119" s="3" t="s">
        <v>146</v>
      </c>
      <c r="G119">
        <f>VLOOKUP(B119,'Grade Formula'!$A$1:$F$7,2,FALSE)*C119*D119/1000</f>
        <v>1.2649999999999999</v>
      </c>
      <c r="H119">
        <f>VLOOKUP(B119,'Grade Formula'!$A$1:$F$7,4,FALSE)*C119*D119/1000</f>
        <v>3.6960000000000002</v>
      </c>
      <c r="I119">
        <f>VLOOKUP(B119,'Grade Formula'!$A$1:$F$7,6,FALSE)*C119*D119/1000</f>
        <v>2.585</v>
      </c>
      <c r="J119">
        <f>VLOOKUP(B119,'Grade Formula'!$A$1:$F$7,5,FALSE)*C119*D119/1000</f>
        <v>3.2725</v>
      </c>
      <c r="K119">
        <f>VLOOKUP(B119,'Grade Formula'!$A$1:$F$7,3,FALSE)*C119*D119/1000</f>
        <v>0.55000000000000004</v>
      </c>
      <c r="L119">
        <f t="shared" si="3"/>
        <v>12</v>
      </c>
    </row>
    <row r="120" spans="1:12" x14ac:dyDescent="0.3">
      <c r="A120" s="1">
        <v>45734</v>
      </c>
      <c r="B120" t="s">
        <v>5</v>
      </c>
      <c r="C120" s="3">
        <v>7</v>
      </c>
      <c r="D120" s="3">
        <v>2</v>
      </c>
      <c r="E120" s="3">
        <f t="shared" si="2"/>
        <v>14</v>
      </c>
      <c r="F120" s="3" t="s">
        <v>157</v>
      </c>
      <c r="G120">
        <f>VLOOKUP(B120,'Grade Formula'!$A$1:$F$7,2,FALSE)*C120*D120/1000</f>
        <v>4.4800000000000004</v>
      </c>
      <c r="H120">
        <f>VLOOKUP(B120,'Grade Formula'!$A$1:$F$7,4,FALSE)*C120*D120/1000</f>
        <v>8.7919999999999998</v>
      </c>
      <c r="I120">
        <f>VLOOKUP(B120,'Grade Formula'!$A$1:$F$7,6,FALSE)*C120*D120/1000</f>
        <v>6.58</v>
      </c>
      <c r="J120">
        <f>VLOOKUP(B120,'Grade Formula'!$A$1:$F$7,5,FALSE)*C120*D120/1000</f>
        <v>8.4</v>
      </c>
      <c r="K120">
        <f>VLOOKUP(B120,'Grade Formula'!$A$1:$F$7,3,FALSE)*C120*D120/1000</f>
        <v>1.1200000000000001</v>
      </c>
      <c r="L120">
        <f t="shared" si="3"/>
        <v>12</v>
      </c>
    </row>
    <row r="121" spans="1:12" x14ac:dyDescent="0.3">
      <c r="A121" s="1">
        <v>45734</v>
      </c>
      <c r="B121" t="s">
        <v>5</v>
      </c>
      <c r="C121" s="3">
        <v>5</v>
      </c>
      <c r="D121" s="3">
        <v>1</v>
      </c>
      <c r="E121" s="3">
        <f t="shared" si="2"/>
        <v>5</v>
      </c>
      <c r="F121" s="3" t="s">
        <v>157</v>
      </c>
      <c r="G121">
        <f>VLOOKUP(B121,'Grade Formula'!$A$1:$F$7,2,FALSE)*C121*D121/1000</f>
        <v>1.6</v>
      </c>
      <c r="H121">
        <f>VLOOKUP(B121,'Grade Formula'!$A$1:$F$7,4,FALSE)*C121*D121/1000</f>
        <v>3.14</v>
      </c>
      <c r="I121">
        <f>VLOOKUP(B121,'Grade Formula'!$A$1:$F$7,6,FALSE)*C121*D121/1000</f>
        <v>2.35</v>
      </c>
      <c r="J121">
        <f>VLOOKUP(B121,'Grade Formula'!$A$1:$F$7,5,FALSE)*C121*D121/1000</f>
        <v>3</v>
      </c>
      <c r="K121">
        <f>VLOOKUP(B121,'Grade Formula'!$A$1:$F$7,3,FALSE)*C121*D121/1000</f>
        <v>0.4</v>
      </c>
      <c r="L121">
        <f t="shared" si="3"/>
        <v>12</v>
      </c>
    </row>
    <row r="122" spans="1:12" x14ac:dyDescent="0.3">
      <c r="A122" s="1">
        <v>45734</v>
      </c>
      <c r="B122" t="s">
        <v>7</v>
      </c>
      <c r="C122" s="3">
        <v>4</v>
      </c>
      <c r="D122" s="3">
        <v>1</v>
      </c>
      <c r="E122" s="3">
        <f t="shared" si="2"/>
        <v>4</v>
      </c>
      <c r="F122" s="3" t="s">
        <v>119</v>
      </c>
      <c r="G122">
        <f>VLOOKUP(B122,'Grade Formula'!$A$1:$F$7,2,FALSE)*C122*D122/1000</f>
        <v>0.84</v>
      </c>
      <c r="H122">
        <f>VLOOKUP(B122,'Grade Formula'!$A$1:$F$7,4,FALSE)*C122*D122/1000</f>
        <v>3.0920000000000001</v>
      </c>
      <c r="I122">
        <f>VLOOKUP(B122,'Grade Formula'!$A$1:$F$7,6,FALSE)*C122*D122/1000</f>
        <v>1.96</v>
      </c>
      <c r="J122">
        <f>VLOOKUP(B122,'Grade Formula'!$A$1:$F$7,5,FALSE)*C122*D122/1000</f>
        <v>2.64</v>
      </c>
      <c r="K122">
        <f>VLOOKUP(B122,'Grade Formula'!$A$1:$F$7,3,FALSE)*C122*D122/1000</f>
        <v>0</v>
      </c>
      <c r="L122">
        <f t="shared" si="3"/>
        <v>12</v>
      </c>
    </row>
    <row r="123" spans="1:12" x14ac:dyDescent="0.3">
      <c r="A123" s="1">
        <v>45735</v>
      </c>
      <c r="B123" t="s">
        <v>5</v>
      </c>
      <c r="C123" s="3">
        <v>6.5</v>
      </c>
      <c r="D123" s="3">
        <v>2</v>
      </c>
      <c r="E123" s="3">
        <f t="shared" si="2"/>
        <v>13</v>
      </c>
      <c r="F123" s="3" t="s">
        <v>152</v>
      </c>
      <c r="G123">
        <f>VLOOKUP(B123,'Grade Formula'!$A$1:$F$7,2,FALSE)*C123*D123/1000</f>
        <v>4.16</v>
      </c>
      <c r="H123">
        <f>VLOOKUP(B123,'Grade Formula'!$A$1:$F$7,4,FALSE)*C123*D123/1000</f>
        <v>8.1639999999999997</v>
      </c>
      <c r="I123">
        <f>VLOOKUP(B123,'Grade Formula'!$A$1:$F$7,6,FALSE)*C123*D123/1000</f>
        <v>6.11</v>
      </c>
      <c r="J123">
        <f>VLOOKUP(B123,'Grade Formula'!$A$1:$F$7,5,FALSE)*C123*D123/1000</f>
        <v>7.8</v>
      </c>
      <c r="K123">
        <f>VLOOKUP(B123,'Grade Formula'!$A$1:$F$7,3,FALSE)*C123*D123/1000</f>
        <v>1.04</v>
      </c>
      <c r="L123">
        <f t="shared" si="3"/>
        <v>12</v>
      </c>
    </row>
    <row r="124" spans="1:12" x14ac:dyDescent="0.3">
      <c r="A124" s="1">
        <v>45736</v>
      </c>
      <c r="B124" t="s">
        <v>3</v>
      </c>
      <c r="C124" s="3">
        <v>7</v>
      </c>
      <c r="D124" s="3">
        <v>1</v>
      </c>
      <c r="E124" s="3">
        <f t="shared" si="2"/>
        <v>7</v>
      </c>
      <c r="F124" s="3" t="s">
        <v>124</v>
      </c>
      <c r="G124">
        <f>VLOOKUP(B124,'Grade Formula'!$A$1:$F$7,2,FALSE)*C124*D124/1000</f>
        <v>1.61</v>
      </c>
      <c r="H124">
        <f>VLOOKUP(B124,'Grade Formula'!$A$1:$F$7,4,FALSE)*C124*D124/1000</f>
        <v>4.7039999999999997</v>
      </c>
      <c r="I124">
        <f>VLOOKUP(B124,'Grade Formula'!$A$1:$F$7,6,FALSE)*C124*D124/1000</f>
        <v>3.29</v>
      </c>
      <c r="J124">
        <f>VLOOKUP(B124,'Grade Formula'!$A$1:$F$7,5,FALSE)*C124*D124/1000</f>
        <v>4.165</v>
      </c>
      <c r="K124">
        <f>VLOOKUP(B124,'Grade Formula'!$A$1:$F$7,3,FALSE)*C124*D124/1000</f>
        <v>0.7</v>
      </c>
      <c r="L124">
        <f t="shared" si="3"/>
        <v>12</v>
      </c>
    </row>
    <row r="125" spans="1:12" x14ac:dyDescent="0.3">
      <c r="A125" s="1">
        <v>45736</v>
      </c>
      <c r="B125" t="s">
        <v>3</v>
      </c>
      <c r="C125" s="3">
        <v>6</v>
      </c>
      <c r="D125" s="3">
        <v>2</v>
      </c>
      <c r="E125" s="3">
        <f t="shared" si="2"/>
        <v>12</v>
      </c>
      <c r="F125" s="3" t="s">
        <v>131</v>
      </c>
      <c r="G125">
        <f>VLOOKUP(B125,'Grade Formula'!$A$1:$F$7,2,FALSE)*C125*D125/1000</f>
        <v>2.76</v>
      </c>
      <c r="H125">
        <f>VLOOKUP(B125,'Grade Formula'!$A$1:$F$7,4,FALSE)*C125*D125/1000</f>
        <v>8.0640000000000001</v>
      </c>
      <c r="I125">
        <f>VLOOKUP(B125,'Grade Formula'!$A$1:$F$7,6,FALSE)*C125*D125/1000</f>
        <v>5.64</v>
      </c>
      <c r="J125">
        <f>VLOOKUP(B125,'Grade Formula'!$A$1:$F$7,5,FALSE)*C125*D125/1000</f>
        <v>7.14</v>
      </c>
      <c r="K125">
        <f>VLOOKUP(B125,'Grade Formula'!$A$1:$F$7,3,FALSE)*C125*D125/1000</f>
        <v>1.2</v>
      </c>
      <c r="L125">
        <f t="shared" si="3"/>
        <v>12</v>
      </c>
    </row>
    <row r="126" spans="1:12" x14ac:dyDescent="0.3">
      <c r="A126" s="1">
        <v>45738</v>
      </c>
      <c r="B126" t="s">
        <v>5</v>
      </c>
      <c r="C126" s="3">
        <v>7</v>
      </c>
      <c r="D126" s="3">
        <v>1</v>
      </c>
      <c r="E126" s="3">
        <f t="shared" si="2"/>
        <v>7</v>
      </c>
      <c r="F126" s="3" t="s">
        <v>142</v>
      </c>
      <c r="G126">
        <f>VLOOKUP(B126,'Grade Formula'!$A$1:$F$7,2,FALSE)*C126*D126/1000</f>
        <v>2.2400000000000002</v>
      </c>
      <c r="H126">
        <f>VLOOKUP(B126,'Grade Formula'!$A$1:$F$7,4,FALSE)*C126*D126/1000</f>
        <v>4.3959999999999999</v>
      </c>
      <c r="I126">
        <f>VLOOKUP(B126,'Grade Formula'!$A$1:$F$7,6,FALSE)*C126*D126/1000</f>
        <v>3.29</v>
      </c>
      <c r="J126">
        <f>VLOOKUP(B126,'Grade Formula'!$A$1:$F$7,5,FALSE)*C126*D126/1000</f>
        <v>4.2</v>
      </c>
      <c r="K126">
        <f>VLOOKUP(B126,'Grade Formula'!$A$1:$F$7,3,FALSE)*C126*D126/1000</f>
        <v>0.56000000000000005</v>
      </c>
      <c r="L126">
        <f t="shared" si="3"/>
        <v>12</v>
      </c>
    </row>
    <row r="127" spans="1:12" x14ac:dyDescent="0.3">
      <c r="A127" s="1">
        <v>45738</v>
      </c>
      <c r="B127" t="s">
        <v>6</v>
      </c>
      <c r="C127" s="3">
        <v>6.5</v>
      </c>
      <c r="D127" s="3">
        <v>2</v>
      </c>
      <c r="E127" s="3">
        <f t="shared" si="2"/>
        <v>13</v>
      </c>
      <c r="F127" s="3" t="s">
        <v>81</v>
      </c>
      <c r="G127">
        <f>VLOOKUP(B127,'Grade Formula'!$A$1:$F$7,2,FALSE)*C127*D127/1000</f>
        <v>3.38</v>
      </c>
      <c r="H127">
        <f>VLOOKUP(B127,'Grade Formula'!$A$1:$F$7,4,FALSE)*C127*D127/1000</f>
        <v>9.3209999999999997</v>
      </c>
      <c r="I127">
        <f>VLOOKUP(B127,'Grade Formula'!$A$1:$F$7,6,FALSE)*C127*D127/1000</f>
        <v>6.24</v>
      </c>
      <c r="J127">
        <f>VLOOKUP(B127,'Grade Formula'!$A$1:$F$7,5,FALSE)*C127*D127/1000</f>
        <v>8.19</v>
      </c>
      <c r="K127">
        <f>VLOOKUP(B127,'Grade Formula'!$A$1:$F$7,3,FALSE)*C127*D127/1000</f>
        <v>0</v>
      </c>
      <c r="L127">
        <f t="shared" si="3"/>
        <v>12</v>
      </c>
    </row>
    <row r="128" spans="1:12" x14ac:dyDescent="0.3">
      <c r="A128" s="1">
        <v>45738</v>
      </c>
      <c r="B128" t="s">
        <v>6</v>
      </c>
      <c r="C128" s="3">
        <v>4.5</v>
      </c>
      <c r="D128" s="3">
        <v>1</v>
      </c>
      <c r="E128" s="3">
        <f t="shared" si="2"/>
        <v>4.5</v>
      </c>
      <c r="F128" s="3" t="s">
        <v>81</v>
      </c>
      <c r="G128">
        <f>VLOOKUP(B128,'Grade Formula'!$A$1:$F$7,2,FALSE)*C128*D128/1000</f>
        <v>1.17</v>
      </c>
      <c r="H128">
        <f>VLOOKUP(B128,'Grade Formula'!$A$1:$F$7,4,FALSE)*C128*D128/1000</f>
        <v>3.2265000000000001</v>
      </c>
      <c r="I128">
        <f>VLOOKUP(B128,'Grade Formula'!$A$1:$F$7,6,FALSE)*C128*D128/1000</f>
        <v>2.16</v>
      </c>
      <c r="J128">
        <f>VLOOKUP(B128,'Grade Formula'!$A$1:$F$7,5,FALSE)*C128*D128/1000</f>
        <v>2.835</v>
      </c>
      <c r="K128">
        <f>VLOOKUP(B128,'Grade Formula'!$A$1:$F$7,3,FALSE)*C128*D128/1000</f>
        <v>0</v>
      </c>
      <c r="L128">
        <f t="shared" si="3"/>
        <v>12</v>
      </c>
    </row>
    <row r="129" spans="1:12" x14ac:dyDescent="0.3">
      <c r="A129" s="1">
        <v>45738</v>
      </c>
      <c r="B129" t="s">
        <v>6</v>
      </c>
      <c r="C129" s="3">
        <v>4</v>
      </c>
      <c r="D129" s="3">
        <v>1</v>
      </c>
      <c r="E129" s="3">
        <f t="shared" si="2"/>
        <v>4</v>
      </c>
      <c r="F129" s="3" t="s">
        <v>81</v>
      </c>
      <c r="G129">
        <f>VLOOKUP(B129,'Grade Formula'!$A$1:$F$7,2,FALSE)*C129*D129/1000</f>
        <v>1.04</v>
      </c>
      <c r="H129">
        <f>VLOOKUP(B129,'Grade Formula'!$A$1:$F$7,4,FALSE)*C129*D129/1000</f>
        <v>2.8679999999999999</v>
      </c>
      <c r="I129">
        <f>VLOOKUP(B129,'Grade Formula'!$A$1:$F$7,6,FALSE)*C129*D129/1000</f>
        <v>1.92</v>
      </c>
      <c r="J129">
        <f>VLOOKUP(B129,'Grade Formula'!$A$1:$F$7,5,FALSE)*C129*D129/1000</f>
        <v>2.52</v>
      </c>
      <c r="K129">
        <f>VLOOKUP(B129,'Grade Formula'!$A$1:$F$7,3,FALSE)*C129*D129/1000</f>
        <v>0</v>
      </c>
      <c r="L129">
        <f t="shared" si="3"/>
        <v>12</v>
      </c>
    </row>
    <row r="130" spans="1:12" x14ac:dyDescent="0.3">
      <c r="A130" s="1">
        <v>45738</v>
      </c>
      <c r="B130" t="s">
        <v>6</v>
      </c>
      <c r="C130" s="3">
        <v>7</v>
      </c>
      <c r="D130" s="3">
        <v>3</v>
      </c>
      <c r="E130" s="3">
        <f t="shared" si="2"/>
        <v>21</v>
      </c>
      <c r="F130" s="3" t="s">
        <v>140</v>
      </c>
      <c r="G130">
        <f>VLOOKUP(B130,'Grade Formula'!$A$1:$F$7,2,FALSE)*C130*D130/1000</f>
        <v>5.46</v>
      </c>
      <c r="H130">
        <f>VLOOKUP(B130,'Grade Formula'!$A$1:$F$7,4,FALSE)*C130*D130/1000</f>
        <v>15.057</v>
      </c>
      <c r="I130">
        <f>VLOOKUP(B130,'Grade Formula'!$A$1:$F$7,6,FALSE)*C130*D130/1000</f>
        <v>10.08</v>
      </c>
      <c r="J130">
        <f>VLOOKUP(B130,'Grade Formula'!$A$1:$F$7,5,FALSE)*C130*D130/1000</f>
        <v>13.23</v>
      </c>
      <c r="K130">
        <f>VLOOKUP(B130,'Grade Formula'!$A$1:$F$7,3,FALSE)*C130*D130/1000</f>
        <v>0</v>
      </c>
      <c r="L130">
        <f t="shared" si="3"/>
        <v>12</v>
      </c>
    </row>
    <row r="131" spans="1:12" x14ac:dyDescent="0.3">
      <c r="A131" s="1">
        <v>45739</v>
      </c>
      <c r="B131" t="s">
        <v>6</v>
      </c>
      <c r="C131" s="3">
        <v>7</v>
      </c>
      <c r="D131" s="3">
        <v>4</v>
      </c>
      <c r="E131" s="3">
        <f t="shared" ref="E131:E194" si="4">C131*D131</f>
        <v>28</v>
      </c>
      <c r="F131" s="3" t="s">
        <v>140</v>
      </c>
      <c r="G131">
        <f>VLOOKUP(B131,'Grade Formula'!$A$1:$F$7,2,FALSE)*C131*D131/1000</f>
        <v>7.28</v>
      </c>
      <c r="H131">
        <f>VLOOKUP(B131,'Grade Formula'!$A$1:$F$7,4,FALSE)*C131*D131/1000</f>
        <v>20.076000000000001</v>
      </c>
      <c r="I131">
        <f>VLOOKUP(B131,'Grade Formula'!$A$1:$F$7,6,FALSE)*C131*D131/1000</f>
        <v>13.44</v>
      </c>
      <c r="J131">
        <f>VLOOKUP(B131,'Grade Formula'!$A$1:$F$7,5,FALSE)*C131*D131/1000</f>
        <v>17.64</v>
      </c>
      <c r="K131">
        <f>VLOOKUP(B131,'Grade Formula'!$A$1:$F$7,3,FALSE)*C131*D131/1000</f>
        <v>0</v>
      </c>
      <c r="L131">
        <f t="shared" ref="L131:L194" si="5">WEEKNUM(A131)</f>
        <v>13</v>
      </c>
    </row>
    <row r="132" spans="1:12" x14ac:dyDescent="0.3">
      <c r="A132" s="1">
        <v>45739</v>
      </c>
      <c r="B132" t="s">
        <v>5</v>
      </c>
      <c r="C132" s="3">
        <v>6</v>
      </c>
      <c r="D132" s="3">
        <v>1</v>
      </c>
      <c r="E132" s="3">
        <f t="shared" si="4"/>
        <v>6</v>
      </c>
      <c r="F132" s="3" t="s">
        <v>118</v>
      </c>
      <c r="G132">
        <f>VLOOKUP(B132,'Grade Formula'!$A$1:$F$7,2,FALSE)*C132*D132/1000</f>
        <v>1.92</v>
      </c>
      <c r="H132">
        <f>VLOOKUP(B132,'Grade Formula'!$A$1:$F$7,4,FALSE)*C132*D132/1000</f>
        <v>3.7679999999999998</v>
      </c>
      <c r="I132">
        <f>VLOOKUP(B132,'Grade Formula'!$A$1:$F$7,6,FALSE)*C132*D132/1000</f>
        <v>2.82</v>
      </c>
      <c r="J132">
        <f>VLOOKUP(B132,'Grade Formula'!$A$1:$F$7,5,FALSE)*C132*D132/1000</f>
        <v>3.6</v>
      </c>
      <c r="K132">
        <f>VLOOKUP(B132,'Grade Formula'!$A$1:$F$7,3,FALSE)*C132*D132/1000</f>
        <v>0.48</v>
      </c>
      <c r="L132">
        <f t="shared" si="5"/>
        <v>13</v>
      </c>
    </row>
    <row r="133" spans="1:12" x14ac:dyDescent="0.3">
      <c r="A133" s="1">
        <v>45739</v>
      </c>
      <c r="B133" t="s">
        <v>5</v>
      </c>
      <c r="C133" s="3">
        <v>5</v>
      </c>
      <c r="D133" s="3">
        <v>2</v>
      </c>
      <c r="E133" s="3">
        <f t="shared" si="4"/>
        <v>10</v>
      </c>
      <c r="F133" s="3" t="s">
        <v>118</v>
      </c>
      <c r="G133">
        <f>VLOOKUP(B133,'Grade Formula'!$A$1:$F$7,2,FALSE)*C133*D133/1000</f>
        <v>3.2</v>
      </c>
      <c r="H133">
        <f>VLOOKUP(B133,'Grade Formula'!$A$1:$F$7,4,FALSE)*C133*D133/1000</f>
        <v>6.28</v>
      </c>
      <c r="I133">
        <f>VLOOKUP(B133,'Grade Formula'!$A$1:$F$7,6,FALSE)*C133*D133/1000</f>
        <v>4.7</v>
      </c>
      <c r="J133">
        <f>VLOOKUP(B133,'Grade Formula'!$A$1:$F$7,5,FALSE)*C133*D133/1000</f>
        <v>6</v>
      </c>
      <c r="K133">
        <f>VLOOKUP(B133,'Grade Formula'!$A$1:$F$7,3,FALSE)*C133*D133/1000</f>
        <v>0.8</v>
      </c>
      <c r="L133">
        <f t="shared" si="5"/>
        <v>13</v>
      </c>
    </row>
    <row r="134" spans="1:12" x14ac:dyDescent="0.3">
      <c r="A134" s="1">
        <v>45740</v>
      </c>
      <c r="B134" t="s">
        <v>3</v>
      </c>
      <c r="C134" s="3">
        <v>7</v>
      </c>
      <c r="D134" s="3">
        <v>11</v>
      </c>
      <c r="E134" s="3">
        <f t="shared" si="4"/>
        <v>77</v>
      </c>
      <c r="F134" s="3" t="s">
        <v>152</v>
      </c>
      <c r="G134">
        <f>VLOOKUP(B134,'Grade Formula'!$A$1:$F$7,2,FALSE)*C134*D134/1000</f>
        <v>17.71</v>
      </c>
      <c r="H134">
        <f>VLOOKUP(B134,'Grade Formula'!$A$1:$F$7,4,FALSE)*C134*D134/1000</f>
        <v>51.744</v>
      </c>
      <c r="I134">
        <f>VLOOKUP(B134,'Grade Formula'!$A$1:$F$7,6,FALSE)*C134*D134/1000</f>
        <v>36.19</v>
      </c>
      <c r="J134">
        <f>VLOOKUP(B134,'Grade Formula'!$A$1:$F$7,5,FALSE)*C134*D134/1000</f>
        <v>45.814999999999998</v>
      </c>
      <c r="K134">
        <f>VLOOKUP(B134,'Grade Formula'!$A$1:$F$7,3,FALSE)*C134*D134/1000</f>
        <v>7.7</v>
      </c>
      <c r="L134">
        <f t="shared" si="5"/>
        <v>13</v>
      </c>
    </row>
    <row r="135" spans="1:12" x14ac:dyDescent="0.3">
      <c r="A135" s="1">
        <v>45741</v>
      </c>
      <c r="B135" t="s">
        <v>5</v>
      </c>
      <c r="C135" s="3">
        <v>7</v>
      </c>
      <c r="D135" s="3">
        <v>3</v>
      </c>
      <c r="E135" s="3">
        <f t="shared" si="4"/>
        <v>21</v>
      </c>
      <c r="F135" s="3" t="s">
        <v>110</v>
      </c>
      <c r="G135">
        <f>VLOOKUP(B135,'Grade Formula'!$A$1:$F$7,2,FALSE)*C135*D135/1000</f>
        <v>6.72</v>
      </c>
      <c r="H135">
        <f>VLOOKUP(B135,'Grade Formula'!$A$1:$F$7,4,FALSE)*C135*D135/1000</f>
        <v>13.188000000000001</v>
      </c>
      <c r="I135">
        <f>VLOOKUP(B135,'Grade Formula'!$A$1:$F$7,6,FALSE)*C135*D135/1000</f>
        <v>9.8699999999999992</v>
      </c>
      <c r="J135">
        <f>VLOOKUP(B135,'Grade Formula'!$A$1:$F$7,5,FALSE)*C135*D135/1000</f>
        <v>12.6</v>
      </c>
      <c r="K135">
        <f>VLOOKUP(B135,'Grade Formula'!$A$1:$F$7,3,FALSE)*C135*D135/1000</f>
        <v>1.68</v>
      </c>
      <c r="L135">
        <f t="shared" si="5"/>
        <v>13</v>
      </c>
    </row>
    <row r="136" spans="1:12" x14ac:dyDescent="0.3">
      <c r="A136" s="1">
        <v>45741</v>
      </c>
      <c r="B136" t="s">
        <v>5</v>
      </c>
      <c r="C136" s="3">
        <v>2.5</v>
      </c>
      <c r="D136" s="3">
        <v>1</v>
      </c>
      <c r="E136" s="3">
        <f t="shared" si="4"/>
        <v>2.5</v>
      </c>
      <c r="F136" s="3" t="s">
        <v>110</v>
      </c>
      <c r="G136">
        <f>VLOOKUP(B136,'Grade Formula'!$A$1:$F$7,2,FALSE)*C136*D136/1000</f>
        <v>0.8</v>
      </c>
      <c r="H136">
        <f>VLOOKUP(B136,'Grade Formula'!$A$1:$F$7,4,FALSE)*C136*D136/1000</f>
        <v>1.57</v>
      </c>
      <c r="I136">
        <f>VLOOKUP(B136,'Grade Formula'!$A$1:$F$7,6,FALSE)*C136*D136/1000</f>
        <v>1.175</v>
      </c>
      <c r="J136">
        <f>VLOOKUP(B136,'Grade Formula'!$A$1:$F$7,5,FALSE)*C136*D136/1000</f>
        <v>1.5</v>
      </c>
      <c r="K136">
        <f>VLOOKUP(B136,'Grade Formula'!$A$1:$F$7,3,FALSE)*C136*D136/1000</f>
        <v>0.2</v>
      </c>
      <c r="L136">
        <f t="shared" si="5"/>
        <v>13</v>
      </c>
    </row>
    <row r="137" spans="1:12" x14ac:dyDescent="0.3">
      <c r="A137" s="1">
        <v>45741</v>
      </c>
      <c r="B137" t="s">
        <v>5</v>
      </c>
      <c r="C137" s="3">
        <v>2.5</v>
      </c>
      <c r="D137" s="3">
        <v>1</v>
      </c>
      <c r="E137" s="3">
        <f t="shared" si="4"/>
        <v>2.5</v>
      </c>
      <c r="F137" s="3" t="s">
        <v>142</v>
      </c>
      <c r="G137">
        <f>VLOOKUP(B137,'Grade Formula'!$A$1:$F$7,2,FALSE)*C137*D137/1000</f>
        <v>0.8</v>
      </c>
      <c r="H137">
        <f>VLOOKUP(B137,'Grade Formula'!$A$1:$F$7,4,FALSE)*C137*D137/1000</f>
        <v>1.57</v>
      </c>
      <c r="I137">
        <f>VLOOKUP(B137,'Grade Formula'!$A$1:$F$7,6,FALSE)*C137*D137/1000</f>
        <v>1.175</v>
      </c>
      <c r="J137">
        <f>VLOOKUP(B137,'Grade Formula'!$A$1:$F$7,5,FALSE)*C137*D137/1000</f>
        <v>1.5</v>
      </c>
      <c r="K137">
        <f>VLOOKUP(B137,'Grade Formula'!$A$1:$F$7,3,FALSE)*C137*D137/1000</f>
        <v>0.2</v>
      </c>
      <c r="L137">
        <f t="shared" si="5"/>
        <v>13</v>
      </c>
    </row>
    <row r="138" spans="1:12" x14ac:dyDescent="0.3">
      <c r="A138" s="1">
        <v>45741</v>
      </c>
      <c r="B138" t="s">
        <v>3</v>
      </c>
      <c r="C138" s="3">
        <v>7</v>
      </c>
      <c r="D138" s="3">
        <v>5</v>
      </c>
      <c r="E138" s="3">
        <f t="shared" si="4"/>
        <v>35</v>
      </c>
      <c r="F138" s="3" t="s">
        <v>153</v>
      </c>
      <c r="G138">
        <f>VLOOKUP(B138,'Grade Formula'!$A$1:$F$7,2,FALSE)*C138*D138/1000</f>
        <v>8.0500000000000007</v>
      </c>
      <c r="H138">
        <f>VLOOKUP(B138,'Grade Formula'!$A$1:$F$7,4,FALSE)*C138*D138/1000</f>
        <v>23.52</v>
      </c>
      <c r="I138">
        <f>VLOOKUP(B138,'Grade Formula'!$A$1:$F$7,6,FALSE)*C138*D138/1000</f>
        <v>16.45</v>
      </c>
      <c r="J138">
        <f>VLOOKUP(B138,'Grade Formula'!$A$1:$F$7,5,FALSE)*C138*D138/1000</f>
        <v>20.824999999999999</v>
      </c>
      <c r="K138">
        <f>VLOOKUP(B138,'Grade Formula'!$A$1:$F$7,3,FALSE)*C138*D138/1000</f>
        <v>3.5</v>
      </c>
      <c r="L138">
        <f t="shared" si="5"/>
        <v>13</v>
      </c>
    </row>
    <row r="139" spans="1:12" x14ac:dyDescent="0.3">
      <c r="A139" s="1">
        <v>45742</v>
      </c>
      <c r="B139" t="s">
        <v>3</v>
      </c>
      <c r="C139" s="3">
        <v>7</v>
      </c>
      <c r="D139" s="3">
        <v>2</v>
      </c>
      <c r="E139" s="3">
        <f t="shared" si="4"/>
        <v>14</v>
      </c>
      <c r="F139" s="3" t="s">
        <v>153</v>
      </c>
      <c r="G139">
        <f>VLOOKUP(B139,'Grade Formula'!$A$1:$F$7,2,FALSE)*C139*D139/1000</f>
        <v>3.22</v>
      </c>
      <c r="H139">
        <f>VLOOKUP(B139,'Grade Formula'!$A$1:$F$7,4,FALSE)*C139*D139/1000</f>
        <v>9.4079999999999995</v>
      </c>
      <c r="I139">
        <f>VLOOKUP(B139,'Grade Formula'!$A$1:$F$7,6,FALSE)*C139*D139/1000</f>
        <v>6.58</v>
      </c>
      <c r="J139">
        <f>VLOOKUP(B139,'Grade Formula'!$A$1:$F$7,5,FALSE)*C139*D139/1000</f>
        <v>8.33</v>
      </c>
      <c r="K139">
        <f>VLOOKUP(B139,'Grade Formula'!$A$1:$F$7,3,FALSE)*C139*D139/1000</f>
        <v>1.4</v>
      </c>
      <c r="L139">
        <f t="shared" si="5"/>
        <v>13</v>
      </c>
    </row>
    <row r="140" spans="1:12" x14ac:dyDescent="0.3">
      <c r="A140" s="1">
        <v>45742</v>
      </c>
      <c r="B140" t="s">
        <v>4</v>
      </c>
      <c r="C140" s="3">
        <v>6</v>
      </c>
      <c r="D140" s="3">
        <v>5</v>
      </c>
      <c r="E140" s="3">
        <f t="shared" si="4"/>
        <v>30</v>
      </c>
      <c r="F140" s="3" t="s">
        <v>140</v>
      </c>
      <c r="G140">
        <f>VLOOKUP(B140,'Grade Formula'!$A$1:$F$7,2,FALSE)*C140*D140/1000</f>
        <v>7.5</v>
      </c>
      <c r="H140">
        <f>VLOOKUP(B140,'Grade Formula'!$A$1:$F$7,4,FALSE)*C140*D140/1000</f>
        <v>24.48</v>
      </c>
      <c r="I140">
        <f>VLOOKUP(B140,'Grade Formula'!$A$1:$F$7,6,FALSE)*C140*D140/1000</f>
        <v>14.34</v>
      </c>
      <c r="J140">
        <f>VLOOKUP(B140,'Grade Formula'!$A$1:$F$7,5,FALSE)*C140*D140/1000</f>
        <v>17.579999999999998</v>
      </c>
      <c r="K140">
        <f>VLOOKUP(B140,'Grade Formula'!$A$1:$F$7,3,FALSE)*C140*D140/1000</f>
        <v>3.3</v>
      </c>
      <c r="L140">
        <f t="shared" si="5"/>
        <v>13</v>
      </c>
    </row>
    <row r="141" spans="1:12" x14ac:dyDescent="0.3">
      <c r="A141" s="1">
        <v>45742</v>
      </c>
      <c r="B141" t="s">
        <v>4</v>
      </c>
      <c r="C141" s="3">
        <v>8.5</v>
      </c>
      <c r="D141" s="3">
        <v>1</v>
      </c>
      <c r="E141" s="3">
        <f t="shared" si="4"/>
        <v>8.5</v>
      </c>
      <c r="F141" s="3" t="s">
        <v>84</v>
      </c>
      <c r="G141">
        <f>VLOOKUP(B141,'Grade Formula'!$A$1:$F$7,2,FALSE)*C141*D141/1000</f>
        <v>2.125</v>
      </c>
      <c r="H141">
        <f>VLOOKUP(B141,'Grade Formula'!$A$1:$F$7,4,FALSE)*C141*D141/1000</f>
        <v>6.9359999999999999</v>
      </c>
      <c r="I141">
        <f>VLOOKUP(B141,'Grade Formula'!$A$1:$F$7,6,FALSE)*C141*D141/1000</f>
        <v>4.0629999999999997</v>
      </c>
      <c r="J141">
        <f>VLOOKUP(B141,'Grade Formula'!$A$1:$F$7,5,FALSE)*C141*D141/1000</f>
        <v>4.9809999999999999</v>
      </c>
      <c r="K141">
        <f>VLOOKUP(B141,'Grade Formula'!$A$1:$F$7,3,FALSE)*C141*D141/1000</f>
        <v>0.93500000000000005</v>
      </c>
      <c r="L141">
        <f t="shared" si="5"/>
        <v>13</v>
      </c>
    </row>
    <row r="142" spans="1:12" x14ac:dyDescent="0.3">
      <c r="A142" s="1">
        <v>45743</v>
      </c>
      <c r="B142" t="s">
        <v>4</v>
      </c>
      <c r="C142" s="3">
        <v>6</v>
      </c>
      <c r="D142" s="3">
        <v>8</v>
      </c>
      <c r="E142" s="3">
        <f t="shared" si="4"/>
        <v>48</v>
      </c>
      <c r="F142" s="3" t="s">
        <v>140</v>
      </c>
      <c r="G142">
        <f>VLOOKUP(B142,'Grade Formula'!$A$1:$F$7,2,FALSE)*C142*D142/1000</f>
        <v>12</v>
      </c>
      <c r="H142">
        <f>VLOOKUP(B142,'Grade Formula'!$A$1:$F$7,4,FALSE)*C142*D142/1000</f>
        <v>39.167999999999999</v>
      </c>
      <c r="I142">
        <f>VLOOKUP(B142,'Grade Formula'!$A$1:$F$7,6,FALSE)*C142*D142/1000</f>
        <v>22.943999999999999</v>
      </c>
      <c r="J142">
        <f>VLOOKUP(B142,'Grade Formula'!$A$1:$F$7,5,FALSE)*C142*D142/1000</f>
        <v>28.128</v>
      </c>
      <c r="K142">
        <f>VLOOKUP(B142,'Grade Formula'!$A$1:$F$7,3,FALSE)*C142*D142/1000</f>
        <v>5.28</v>
      </c>
      <c r="L142">
        <f t="shared" si="5"/>
        <v>13</v>
      </c>
    </row>
    <row r="143" spans="1:12" x14ac:dyDescent="0.3">
      <c r="A143" s="1">
        <v>45743</v>
      </c>
      <c r="B143" t="s">
        <v>4</v>
      </c>
      <c r="C143" s="3">
        <v>5</v>
      </c>
      <c r="D143" s="3">
        <v>1</v>
      </c>
      <c r="E143" s="3">
        <f t="shared" si="4"/>
        <v>5</v>
      </c>
      <c r="F143" s="3" t="s">
        <v>140</v>
      </c>
      <c r="G143">
        <f>VLOOKUP(B143,'Grade Formula'!$A$1:$F$7,2,FALSE)*C143*D143/1000</f>
        <v>1.25</v>
      </c>
      <c r="H143">
        <f>VLOOKUP(B143,'Grade Formula'!$A$1:$F$7,4,FALSE)*C143*D143/1000</f>
        <v>4.08</v>
      </c>
      <c r="I143">
        <f>VLOOKUP(B143,'Grade Formula'!$A$1:$F$7,6,FALSE)*C143*D143/1000</f>
        <v>2.39</v>
      </c>
      <c r="J143">
        <f>VLOOKUP(B143,'Grade Formula'!$A$1:$F$7,5,FALSE)*C143*D143/1000</f>
        <v>2.93</v>
      </c>
      <c r="K143">
        <f>VLOOKUP(B143,'Grade Formula'!$A$1:$F$7,3,FALSE)*C143*D143/1000</f>
        <v>0.55000000000000004</v>
      </c>
      <c r="L143">
        <f t="shared" si="5"/>
        <v>13</v>
      </c>
    </row>
    <row r="144" spans="1:12" x14ac:dyDescent="0.3">
      <c r="A144" s="1">
        <v>45743</v>
      </c>
      <c r="B144" t="s">
        <v>4</v>
      </c>
      <c r="C144" s="3">
        <v>2</v>
      </c>
      <c r="D144" s="3">
        <v>1</v>
      </c>
      <c r="E144" s="3">
        <f t="shared" si="4"/>
        <v>2</v>
      </c>
      <c r="F144" s="3" t="s">
        <v>140</v>
      </c>
      <c r="G144">
        <f>VLOOKUP(B144,'Grade Formula'!$A$1:$F$7,2,FALSE)*C144*D144/1000</f>
        <v>0.5</v>
      </c>
      <c r="H144">
        <f>VLOOKUP(B144,'Grade Formula'!$A$1:$F$7,4,FALSE)*C144*D144/1000</f>
        <v>1.6319999999999999</v>
      </c>
      <c r="I144">
        <f>VLOOKUP(B144,'Grade Formula'!$A$1:$F$7,6,FALSE)*C144*D144/1000</f>
        <v>0.95599999999999996</v>
      </c>
      <c r="J144">
        <f>VLOOKUP(B144,'Grade Formula'!$A$1:$F$7,5,FALSE)*C144*D144/1000</f>
        <v>1.1719999999999999</v>
      </c>
      <c r="K144">
        <f>VLOOKUP(B144,'Grade Formula'!$A$1:$F$7,3,FALSE)*C144*D144/1000</f>
        <v>0.22</v>
      </c>
      <c r="L144">
        <f t="shared" si="5"/>
        <v>13</v>
      </c>
    </row>
    <row r="145" spans="1:12" x14ac:dyDescent="0.3">
      <c r="A145" s="1">
        <v>45744</v>
      </c>
      <c r="B145" t="s">
        <v>5</v>
      </c>
      <c r="C145" s="3">
        <v>4.5</v>
      </c>
      <c r="D145" s="3">
        <v>1</v>
      </c>
      <c r="E145" s="3">
        <f t="shared" si="4"/>
        <v>4.5</v>
      </c>
      <c r="F145" s="3" t="s">
        <v>106</v>
      </c>
      <c r="G145">
        <f>VLOOKUP(B145,'Grade Formula'!$A$1:$F$7,2,FALSE)*C145*D145/1000</f>
        <v>1.44</v>
      </c>
      <c r="H145">
        <f>VLOOKUP(B145,'Grade Formula'!$A$1:$F$7,4,FALSE)*C145*D145/1000</f>
        <v>2.8260000000000001</v>
      </c>
      <c r="I145">
        <f>VLOOKUP(B145,'Grade Formula'!$A$1:$F$7,6,FALSE)*C145*D145/1000</f>
        <v>2.1150000000000002</v>
      </c>
      <c r="J145">
        <f>VLOOKUP(B145,'Grade Formula'!$A$1:$F$7,5,FALSE)*C145*D145/1000</f>
        <v>2.7</v>
      </c>
      <c r="K145">
        <f>VLOOKUP(B145,'Grade Formula'!$A$1:$F$7,3,FALSE)*C145*D145/1000</f>
        <v>0.36</v>
      </c>
      <c r="L145">
        <f t="shared" si="5"/>
        <v>13</v>
      </c>
    </row>
    <row r="146" spans="1:12" x14ac:dyDescent="0.3">
      <c r="A146" s="1">
        <v>45744</v>
      </c>
      <c r="B146" t="s">
        <v>5</v>
      </c>
      <c r="C146" s="3">
        <v>4</v>
      </c>
      <c r="D146" s="3">
        <v>1</v>
      </c>
      <c r="E146" s="3">
        <f t="shared" si="4"/>
        <v>4</v>
      </c>
      <c r="F146" s="3" t="s">
        <v>106</v>
      </c>
      <c r="G146">
        <f>VLOOKUP(B146,'Grade Formula'!$A$1:$F$7,2,FALSE)*C146*D146/1000</f>
        <v>1.28</v>
      </c>
      <c r="H146">
        <f>VLOOKUP(B146,'Grade Formula'!$A$1:$F$7,4,FALSE)*C146*D146/1000</f>
        <v>2.512</v>
      </c>
      <c r="I146">
        <f>VLOOKUP(B146,'Grade Formula'!$A$1:$F$7,6,FALSE)*C146*D146/1000</f>
        <v>1.88</v>
      </c>
      <c r="J146">
        <f>VLOOKUP(B146,'Grade Formula'!$A$1:$F$7,5,FALSE)*C146*D146/1000</f>
        <v>2.4</v>
      </c>
      <c r="K146">
        <f>VLOOKUP(B146,'Grade Formula'!$A$1:$F$7,3,FALSE)*C146*D146/1000</f>
        <v>0.32</v>
      </c>
      <c r="L146">
        <f t="shared" si="5"/>
        <v>13</v>
      </c>
    </row>
    <row r="147" spans="1:12" x14ac:dyDescent="0.3">
      <c r="A147" s="1">
        <v>45744</v>
      </c>
      <c r="B147" t="s">
        <v>7</v>
      </c>
      <c r="C147" s="3">
        <v>6</v>
      </c>
      <c r="D147" s="3">
        <v>7</v>
      </c>
      <c r="E147" s="3">
        <f t="shared" si="4"/>
        <v>42</v>
      </c>
      <c r="F147" s="3" t="s">
        <v>103</v>
      </c>
      <c r="G147">
        <f>VLOOKUP(B147,'Grade Formula'!$A$1:$F$7,2,FALSE)*C147*D147/1000</f>
        <v>8.82</v>
      </c>
      <c r="H147">
        <f>VLOOKUP(B147,'Grade Formula'!$A$1:$F$7,4,FALSE)*C147*D147/1000</f>
        <v>32.466000000000001</v>
      </c>
      <c r="I147">
        <f>VLOOKUP(B147,'Grade Formula'!$A$1:$F$7,6,FALSE)*C147*D147/1000</f>
        <v>20.58</v>
      </c>
      <c r="J147">
        <f>VLOOKUP(B147,'Grade Formula'!$A$1:$F$7,5,FALSE)*C147*D147/1000</f>
        <v>27.72</v>
      </c>
      <c r="K147">
        <f>VLOOKUP(B147,'Grade Formula'!$A$1:$F$7,3,FALSE)*C147*D147/1000</f>
        <v>0</v>
      </c>
      <c r="L147">
        <f t="shared" si="5"/>
        <v>13</v>
      </c>
    </row>
    <row r="148" spans="1:12" x14ac:dyDescent="0.3">
      <c r="A148" s="1">
        <v>45744</v>
      </c>
      <c r="B148" t="s">
        <v>7</v>
      </c>
      <c r="C148" s="3">
        <v>6</v>
      </c>
      <c r="D148" s="3">
        <v>4</v>
      </c>
      <c r="E148" s="3">
        <f t="shared" si="4"/>
        <v>24</v>
      </c>
      <c r="F148" s="3" t="s">
        <v>104</v>
      </c>
      <c r="G148">
        <f>VLOOKUP(B148,'Grade Formula'!$A$1:$F$7,2,FALSE)*C148*D148/1000</f>
        <v>5.04</v>
      </c>
      <c r="H148">
        <f>VLOOKUP(B148,'Grade Formula'!$A$1:$F$7,4,FALSE)*C148*D148/1000</f>
        <v>18.552</v>
      </c>
      <c r="I148">
        <f>VLOOKUP(B148,'Grade Formula'!$A$1:$F$7,6,FALSE)*C148*D148/1000</f>
        <v>11.76</v>
      </c>
      <c r="J148">
        <f>VLOOKUP(B148,'Grade Formula'!$A$1:$F$7,5,FALSE)*C148*D148/1000</f>
        <v>15.84</v>
      </c>
      <c r="K148">
        <f>VLOOKUP(B148,'Grade Formula'!$A$1:$F$7,3,FALSE)*C148*D148/1000</f>
        <v>0</v>
      </c>
      <c r="L148">
        <f t="shared" si="5"/>
        <v>13</v>
      </c>
    </row>
    <row r="149" spans="1:12" x14ac:dyDescent="0.3">
      <c r="A149" s="1">
        <v>45744</v>
      </c>
      <c r="B149" t="s">
        <v>5</v>
      </c>
      <c r="C149" s="3">
        <v>7</v>
      </c>
      <c r="D149" s="3">
        <v>3</v>
      </c>
      <c r="E149" s="3">
        <f t="shared" si="4"/>
        <v>21</v>
      </c>
      <c r="F149" s="3" t="s">
        <v>127</v>
      </c>
      <c r="G149">
        <f>VLOOKUP(B149,'Grade Formula'!$A$1:$F$7,2,FALSE)*C149*D149/1000</f>
        <v>6.72</v>
      </c>
      <c r="H149">
        <f>VLOOKUP(B149,'Grade Formula'!$A$1:$F$7,4,FALSE)*C149*D149/1000</f>
        <v>13.188000000000001</v>
      </c>
      <c r="I149">
        <f>VLOOKUP(B149,'Grade Formula'!$A$1:$F$7,6,FALSE)*C149*D149/1000</f>
        <v>9.8699999999999992</v>
      </c>
      <c r="J149">
        <f>VLOOKUP(B149,'Grade Formula'!$A$1:$F$7,5,FALSE)*C149*D149/1000</f>
        <v>12.6</v>
      </c>
      <c r="K149">
        <f>VLOOKUP(B149,'Grade Formula'!$A$1:$F$7,3,FALSE)*C149*D149/1000</f>
        <v>1.68</v>
      </c>
      <c r="L149">
        <f t="shared" si="5"/>
        <v>13</v>
      </c>
    </row>
    <row r="150" spans="1:12" x14ac:dyDescent="0.3">
      <c r="A150" s="1">
        <v>45744</v>
      </c>
      <c r="B150" t="s">
        <v>5</v>
      </c>
      <c r="C150" s="3">
        <v>6</v>
      </c>
      <c r="D150" s="3">
        <v>1</v>
      </c>
      <c r="E150" s="3">
        <f t="shared" si="4"/>
        <v>6</v>
      </c>
      <c r="F150" s="3" t="s">
        <v>127</v>
      </c>
      <c r="G150">
        <f>VLOOKUP(B150,'Grade Formula'!$A$1:$F$7,2,FALSE)*C150*D150/1000</f>
        <v>1.92</v>
      </c>
      <c r="H150">
        <f>VLOOKUP(B150,'Grade Formula'!$A$1:$F$7,4,FALSE)*C150*D150/1000</f>
        <v>3.7679999999999998</v>
      </c>
      <c r="I150">
        <f>VLOOKUP(B150,'Grade Formula'!$A$1:$F$7,6,FALSE)*C150*D150/1000</f>
        <v>2.82</v>
      </c>
      <c r="J150">
        <f>VLOOKUP(B150,'Grade Formula'!$A$1:$F$7,5,FALSE)*C150*D150/1000</f>
        <v>3.6</v>
      </c>
      <c r="K150">
        <f>VLOOKUP(B150,'Grade Formula'!$A$1:$F$7,3,FALSE)*C150*D150/1000</f>
        <v>0.48</v>
      </c>
      <c r="L150">
        <f t="shared" si="5"/>
        <v>13</v>
      </c>
    </row>
    <row r="151" spans="1:12" x14ac:dyDescent="0.3">
      <c r="A151" s="1">
        <v>45744</v>
      </c>
      <c r="B151" t="s">
        <v>5</v>
      </c>
      <c r="C151" s="3">
        <v>3</v>
      </c>
      <c r="D151" s="3">
        <v>1</v>
      </c>
      <c r="E151" s="3">
        <f t="shared" si="4"/>
        <v>3</v>
      </c>
      <c r="F151" s="3" t="s">
        <v>127</v>
      </c>
      <c r="G151">
        <f>VLOOKUP(B151,'Grade Formula'!$A$1:$F$7,2,FALSE)*C151*D151/1000</f>
        <v>0.96</v>
      </c>
      <c r="H151">
        <f>VLOOKUP(B151,'Grade Formula'!$A$1:$F$7,4,FALSE)*C151*D151/1000</f>
        <v>1.8839999999999999</v>
      </c>
      <c r="I151">
        <f>VLOOKUP(B151,'Grade Formula'!$A$1:$F$7,6,FALSE)*C151*D151/1000</f>
        <v>1.41</v>
      </c>
      <c r="J151">
        <f>VLOOKUP(B151,'Grade Formula'!$A$1:$F$7,5,FALSE)*C151*D151/1000</f>
        <v>1.8</v>
      </c>
      <c r="K151">
        <f>VLOOKUP(B151,'Grade Formula'!$A$1:$F$7,3,FALSE)*C151*D151/1000</f>
        <v>0.24</v>
      </c>
      <c r="L151">
        <f t="shared" si="5"/>
        <v>13</v>
      </c>
    </row>
    <row r="152" spans="1:12" x14ac:dyDescent="0.3">
      <c r="A152" s="1">
        <v>45744</v>
      </c>
      <c r="B152" t="s">
        <v>5</v>
      </c>
      <c r="C152" s="3">
        <v>7</v>
      </c>
      <c r="D152" s="3">
        <v>1</v>
      </c>
      <c r="E152" s="3">
        <f t="shared" si="4"/>
        <v>7</v>
      </c>
      <c r="F152" s="3" t="s">
        <v>152</v>
      </c>
      <c r="G152">
        <f>VLOOKUP(B152,'Grade Formula'!$A$1:$F$7,2,FALSE)*C152*D152/1000</f>
        <v>2.2400000000000002</v>
      </c>
      <c r="H152">
        <f>VLOOKUP(B152,'Grade Formula'!$A$1:$F$7,4,FALSE)*C152*D152/1000</f>
        <v>4.3959999999999999</v>
      </c>
      <c r="I152">
        <f>VLOOKUP(B152,'Grade Formula'!$A$1:$F$7,6,FALSE)*C152*D152/1000</f>
        <v>3.29</v>
      </c>
      <c r="J152">
        <f>VLOOKUP(B152,'Grade Formula'!$A$1:$F$7,5,FALSE)*C152*D152/1000</f>
        <v>4.2</v>
      </c>
      <c r="K152">
        <f>VLOOKUP(B152,'Grade Formula'!$A$1:$F$7,3,FALSE)*C152*D152/1000</f>
        <v>0.56000000000000005</v>
      </c>
      <c r="L152">
        <f t="shared" si="5"/>
        <v>13</v>
      </c>
    </row>
    <row r="153" spans="1:12" x14ac:dyDescent="0.3">
      <c r="A153" s="1">
        <v>45745</v>
      </c>
      <c r="B153" t="s">
        <v>4</v>
      </c>
      <c r="C153" s="3">
        <v>6</v>
      </c>
      <c r="D153" s="3">
        <v>38</v>
      </c>
      <c r="E153" s="3">
        <f t="shared" si="4"/>
        <v>228</v>
      </c>
      <c r="F153" s="3" t="s">
        <v>103</v>
      </c>
      <c r="G153">
        <f>VLOOKUP(B153,'Grade Formula'!$A$1:$F$7,2,FALSE)*C153*D153/1000</f>
        <v>57</v>
      </c>
      <c r="H153">
        <f>VLOOKUP(B153,'Grade Formula'!$A$1:$F$7,4,FALSE)*C153*D153/1000</f>
        <v>186.048</v>
      </c>
      <c r="I153">
        <f>VLOOKUP(B153,'Grade Formula'!$A$1:$F$7,6,FALSE)*C153*D153/1000</f>
        <v>108.98399999999999</v>
      </c>
      <c r="J153">
        <f>VLOOKUP(B153,'Grade Formula'!$A$1:$F$7,5,FALSE)*C153*D153/1000</f>
        <v>133.608</v>
      </c>
      <c r="K153">
        <f>VLOOKUP(B153,'Grade Formula'!$A$1:$F$7,3,FALSE)*C153*D153/1000</f>
        <v>25.08</v>
      </c>
      <c r="L153">
        <f t="shared" si="5"/>
        <v>13</v>
      </c>
    </row>
    <row r="154" spans="1:12" x14ac:dyDescent="0.3">
      <c r="A154" s="1">
        <v>45748</v>
      </c>
      <c r="B154" t="s">
        <v>3</v>
      </c>
      <c r="C154" s="3">
        <v>7</v>
      </c>
      <c r="D154" s="3">
        <v>2</v>
      </c>
      <c r="E154" s="3">
        <f t="shared" si="4"/>
        <v>14</v>
      </c>
      <c r="F154" s="3" t="s">
        <v>152</v>
      </c>
      <c r="G154">
        <f>VLOOKUP(B154,'Grade Formula'!$A$1:$F$7,2,FALSE)*C154*D154/1000</f>
        <v>3.22</v>
      </c>
      <c r="H154">
        <f>VLOOKUP(B154,'Grade Formula'!$A$1:$F$7,4,FALSE)*C154*D154/1000</f>
        <v>9.4079999999999995</v>
      </c>
      <c r="I154">
        <f>VLOOKUP(B154,'Grade Formula'!$A$1:$F$7,6,FALSE)*C154*D154/1000</f>
        <v>6.58</v>
      </c>
      <c r="J154">
        <f>VLOOKUP(B154,'Grade Formula'!$A$1:$F$7,5,FALSE)*C154*D154/1000</f>
        <v>8.33</v>
      </c>
      <c r="K154">
        <f>VLOOKUP(B154,'Grade Formula'!$A$1:$F$7,3,FALSE)*C154*D154/1000</f>
        <v>1.4</v>
      </c>
      <c r="L154">
        <f t="shared" si="5"/>
        <v>14</v>
      </c>
    </row>
    <row r="155" spans="1:12" x14ac:dyDescent="0.3">
      <c r="A155" s="1">
        <v>45749</v>
      </c>
      <c r="B155" t="s">
        <v>5</v>
      </c>
      <c r="C155" s="3">
        <v>6</v>
      </c>
      <c r="D155" s="3">
        <v>5</v>
      </c>
      <c r="E155" s="3">
        <f t="shared" si="4"/>
        <v>30</v>
      </c>
      <c r="F155" s="3" t="s">
        <v>129</v>
      </c>
      <c r="G155">
        <f>VLOOKUP(B155,'Grade Formula'!$A$1:$F$7,2,FALSE)*C155*D155/1000</f>
        <v>9.6</v>
      </c>
      <c r="H155">
        <f>VLOOKUP(B155,'Grade Formula'!$A$1:$F$7,4,FALSE)*C155*D155/1000</f>
        <v>18.84</v>
      </c>
      <c r="I155">
        <f>VLOOKUP(B155,'Grade Formula'!$A$1:$F$7,6,FALSE)*C155*D155/1000</f>
        <v>14.1</v>
      </c>
      <c r="J155">
        <f>VLOOKUP(B155,'Grade Formula'!$A$1:$F$7,5,FALSE)*C155*D155/1000</f>
        <v>18</v>
      </c>
      <c r="K155">
        <f>VLOOKUP(B155,'Grade Formula'!$A$1:$F$7,3,FALSE)*C155*D155/1000</f>
        <v>2.4</v>
      </c>
      <c r="L155">
        <f t="shared" si="5"/>
        <v>14</v>
      </c>
    </row>
    <row r="156" spans="1:12" x14ac:dyDescent="0.3">
      <c r="A156" s="1">
        <v>45749</v>
      </c>
      <c r="B156" t="s">
        <v>3</v>
      </c>
      <c r="C156" s="3">
        <v>5.5</v>
      </c>
      <c r="D156" s="3">
        <v>1</v>
      </c>
      <c r="E156" s="3">
        <f t="shared" si="4"/>
        <v>5.5</v>
      </c>
      <c r="F156" s="3" t="s">
        <v>129</v>
      </c>
      <c r="G156">
        <f>VLOOKUP(B156,'Grade Formula'!$A$1:$F$7,2,FALSE)*C156*D156/1000</f>
        <v>1.2649999999999999</v>
      </c>
      <c r="H156">
        <f>VLOOKUP(B156,'Grade Formula'!$A$1:$F$7,4,FALSE)*C156*D156/1000</f>
        <v>3.6960000000000002</v>
      </c>
      <c r="I156">
        <f>VLOOKUP(B156,'Grade Formula'!$A$1:$F$7,6,FALSE)*C156*D156/1000</f>
        <v>2.585</v>
      </c>
      <c r="J156">
        <f>VLOOKUP(B156,'Grade Formula'!$A$1:$F$7,5,FALSE)*C156*D156/1000</f>
        <v>3.2725</v>
      </c>
      <c r="K156">
        <f>VLOOKUP(B156,'Grade Formula'!$A$1:$F$7,3,FALSE)*C156*D156/1000</f>
        <v>0.55000000000000004</v>
      </c>
      <c r="L156">
        <f t="shared" si="5"/>
        <v>14</v>
      </c>
    </row>
    <row r="157" spans="1:12" x14ac:dyDescent="0.3">
      <c r="A157" s="1">
        <v>45749</v>
      </c>
      <c r="B157" t="s">
        <v>3</v>
      </c>
      <c r="C157" s="3">
        <v>2.5</v>
      </c>
      <c r="D157" s="3">
        <v>1</v>
      </c>
      <c r="E157" s="3">
        <f t="shared" si="4"/>
        <v>2.5</v>
      </c>
      <c r="F157" s="3" t="s">
        <v>100</v>
      </c>
      <c r="G157">
        <f>VLOOKUP(B157,'Grade Formula'!$A$1:$F$7,2,FALSE)*C157*D157/1000</f>
        <v>0.57499999999999996</v>
      </c>
      <c r="H157">
        <f>VLOOKUP(B157,'Grade Formula'!$A$1:$F$7,4,FALSE)*C157*D157/1000</f>
        <v>1.68</v>
      </c>
      <c r="I157">
        <f>VLOOKUP(B157,'Grade Formula'!$A$1:$F$7,6,FALSE)*C157*D157/1000</f>
        <v>1.175</v>
      </c>
      <c r="J157">
        <f>VLOOKUP(B157,'Grade Formula'!$A$1:$F$7,5,FALSE)*C157*D157/1000</f>
        <v>1.4875</v>
      </c>
      <c r="K157">
        <f>VLOOKUP(B157,'Grade Formula'!$A$1:$F$7,3,FALSE)*C157*D157/1000</f>
        <v>0.25</v>
      </c>
      <c r="L157">
        <f t="shared" si="5"/>
        <v>14</v>
      </c>
    </row>
    <row r="158" spans="1:12" x14ac:dyDescent="0.3">
      <c r="A158" s="1">
        <v>45749</v>
      </c>
      <c r="B158" t="s">
        <v>5</v>
      </c>
      <c r="C158" s="3">
        <v>7</v>
      </c>
      <c r="D158" s="3">
        <v>1</v>
      </c>
      <c r="E158" s="3">
        <f t="shared" si="4"/>
        <v>7</v>
      </c>
      <c r="F158" s="3" t="s">
        <v>104</v>
      </c>
      <c r="G158">
        <f>VLOOKUP(B158,'Grade Formula'!$A$1:$F$7,2,FALSE)*C158*D158/1000</f>
        <v>2.2400000000000002</v>
      </c>
      <c r="H158">
        <f>VLOOKUP(B158,'Grade Formula'!$A$1:$F$7,4,FALSE)*C158*D158/1000</f>
        <v>4.3959999999999999</v>
      </c>
      <c r="I158">
        <f>VLOOKUP(B158,'Grade Formula'!$A$1:$F$7,6,FALSE)*C158*D158/1000</f>
        <v>3.29</v>
      </c>
      <c r="J158">
        <f>VLOOKUP(B158,'Grade Formula'!$A$1:$F$7,5,FALSE)*C158*D158/1000</f>
        <v>4.2</v>
      </c>
      <c r="K158">
        <f>VLOOKUP(B158,'Grade Formula'!$A$1:$F$7,3,FALSE)*C158*D158/1000</f>
        <v>0.56000000000000005</v>
      </c>
      <c r="L158">
        <f t="shared" si="5"/>
        <v>14</v>
      </c>
    </row>
    <row r="159" spans="1:12" x14ac:dyDescent="0.3">
      <c r="A159" s="1">
        <v>45749</v>
      </c>
      <c r="B159" t="s">
        <v>5</v>
      </c>
      <c r="C159" s="3">
        <v>1</v>
      </c>
      <c r="D159" s="3">
        <v>1</v>
      </c>
      <c r="E159" s="3">
        <f t="shared" si="4"/>
        <v>1</v>
      </c>
      <c r="F159" s="3" t="s">
        <v>104</v>
      </c>
      <c r="G159">
        <f>VLOOKUP(B159,'Grade Formula'!$A$1:$F$7,2,FALSE)*C159*D159/1000</f>
        <v>0.32</v>
      </c>
      <c r="H159">
        <f>VLOOKUP(B159,'Grade Formula'!$A$1:$F$7,4,FALSE)*C159*D159/1000</f>
        <v>0.628</v>
      </c>
      <c r="I159">
        <f>VLOOKUP(B159,'Grade Formula'!$A$1:$F$7,6,FALSE)*C159*D159/1000</f>
        <v>0.47</v>
      </c>
      <c r="J159">
        <f>VLOOKUP(B159,'Grade Formula'!$A$1:$F$7,5,FALSE)*C159*D159/1000</f>
        <v>0.6</v>
      </c>
      <c r="K159">
        <f>VLOOKUP(B159,'Grade Formula'!$A$1:$F$7,3,FALSE)*C159*D159/1000</f>
        <v>0.08</v>
      </c>
      <c r="L159">
        <f t="shared" si="5"/>
        <v>14</v>
      </c>
    </row>
    <row r="160" spans="1:12" x14ac:dyDescent="0.3">
      <c r="A160" s="1">
        <v>45749</v>
      </c>
      <c r="B160" t="s">
        <v>5</v>
      </c>
      <c r="C160" s="3">
        <v>6</v>
      </c>
      <c r="D160" s="3">
        <v>2</v>
      </c>
      <c r="E160" s="3">
        <f t="shared" si="4"/>
        <v>12</v>
      </c>
      <c r="F160" s="3" t="s">
        <v>89</v>
      </c>
      <c r="G160">
        <f>VLOOKUP(B160,'Grade Formula'!$A$1:$F$7,2,FALSE)*C160*D160/1000</f>
        <v>3.84</v>
      </c>
      <c r="H160">
        <f>VLOOKUP(B160,'Grade Formula'!$A$1:$F$7,4,FALSE)*C160*D160/1000</f>
        <v>7.5359999999999996</v>
      </c>
      <c r="I160">
        <f>VLOOKUP(B160,'Grade Formula'!$A$1:$F$7,6,FALSE)*C160*D160/1000</f>
        <v>5.64</v>
      </c>
      <c r="J160">
        <f>VLOOKUP(B160,'Grade Formula'!$A$1:$F$7,5,FALSE)*C160*D160/1000</f>
        <v>7.2</v>
      </c>
      <c r="K160">
        <f>VLOOKUP(B160,'Grade Formula'!$A$1:$F$7,3,FALSE)*C160*D160/1000</f>
        <v>0.96</v>
      </c>
      <c r="L160">
        <f t="shared" si="5"/>
        <v>14</v>
      </c>
    </row>
    <row r="161" spans="1:12" x14ac:dyDescent="0.3">
      <c r="A161" s="1">
        <v>45749</v>
      </c>
      <c r="B161" t="s">
        <v>5</v>
      </c>
      <c r="C161" s="3">
        <v>7</v>
      </c>
      <c r="D161" s="3">
        <v>1</v>
      </c>
      <c r="E161" s="3">
        <f t="shared" si="4"/>
        <v>7</v>
      </c>
      <c r="F161" s="3" t="s">
        <v>96</v>
      </c>
      <c r="G161">
        <f>VLOOKUP(B161,'Grade Formula'!$A$1:$F$7,2,FALSE)*C161*D161/1000</f>
        <v>2.2400000000000002</v>
      </c>
      <c r="H161">
        <f>VLOOKUP(B161,'Grade Formula'!$A$1:$F$7,4,FALSE)*C161*D161/1000</f>
        <v>4.3959999999999999</v>
      </c>
      <c r="I161">
        <f>VLOOKUP(B161,'Grade Formula'!$A$1:$F$7,6,FALSE)*C161*D161/1000</f>
        <v>3.29</v>
      </c>
      <c r="J161">
        <f>VLOOKUP(B161,'Grade Formula'!$A$1:$F$7,5,FALSE)*C161*D161/1000</f>
        <v>4.2</v>
      </c>
      <c r="K161">
        <f>VLOOKUP(B161,'Grade Formula'!$A$1:$F$7,3,FALSE)*C161*D161/1000</f>
        <v>0.56000000000000005</v>
      </c>
      <c r="L161">
        <f t="shared" si="5"/>
        <v>14</v>
      </c>
    </row>
    <row r="162" spans="1:12" x14ac:dyDescent="0.3">
      <c r="A162" s="1">
        <v>45749</v>
      </c>
      <c r="B162" t="s">
        <v>5</v>
      </c>
      <c r="C162" s="3">
        <v>6</v>
      </c>
      <c r="D162" s="3">
        <v>1</v>
      </c>
      <c r="E162" s="3">
        <f t="shared" si="4"/>
        <v>6</v>
      </c>
      <c r="F162" s="3" t="s">
        <v>134</v>
      </c>
      <c r="G162">
        <f>VLOOKUP(B162,'Grade Formula'!$A$1:$F$7,2,FALSE)*C162*D162/1000</f>
        <v>1.92</v>
      </c>
      <c r="H162">
        <f>VLOOKUP(B162,'Grade Formula'!$A$1:$F$7,4,FALSE)*C162*D162/1000</f>
        <v>3.7679999999999998</v>
      </c>
      <c r="I162">
        <f>VLOOKUP(B162,'Grade Formula'!$A$1:$F$7,6,FALSE)*C162*D162/1000</f>
        <v>2.82</v>
      </c>
      <c r="J162">
        <f>VLOOKUP(B162,'Grade Formula'!$A$1:$F$7,5,FALSE)*C162*D162/1000</f>
        <v>3.6</v>
      </c>
      <c r="K162">
        <f>VLOOKUP(B162,'Grade Formula'!$A$1:$F$7,3,FALSE)*C162*D162/1000</f>
        <v>0.48</v>
      </c>
      <c r="L162">
        <f t="shared" si="5"/>
        <v>14</v>
      </c>
    </row>
    <row r="163" spans="1:12" x14ac:dyDescent="0.3">
      <c r="A163" s="1">
        <v>45749</v>
      </c>
      <c r="B163" t="s">
        <v>5</v>
      </c>
      <c r="C163" s="3">
        <v>6.5</v>
      </c>
      <c r="D163" s="3">
        <v>2</v>
      </c>
      <c r="E163" s="3">
        <f t="shared" si="4"/>
        <v>13</v>
      </c>
      <c r="F163" s="3" t="s">
        <v>134</v>
      </c>
      <c r="G163">
        <f>VLOOKUP(B163,'Grade Formula'!$A$1:$F$7,2,FALSE)*C163*D163/1000</f>
        <v>4.16</v>
      </c>
      <c r="H163">
        <f>VLOOKUP(B163,'Grade Formula'!$A$1:$F$7,4,FALSE)*C163*D163/1000</f>
        <v>8.1639999999999997</v>
      </c>
      <c r="I163">
        <f>VLOOKUP(B163,'Grade Formula'!$A$1:$F$7,6,FALSE)*C163*D163/1000</f>
        <v>6.11</v>
      </c>
      <c r="J163">
        <f>VLOOKUP(B163,'Grade Formula'!$A$1:$F$7,5,FALSE)*C163*D163/1000</f>
        <v>7.8</v>
      </c>
      <c r="K163">
        <f>VLOOKUP(B163,'Grade Formula'!$A$1:$F$7,3,FALSE)*C163*D163/1000</f>
        <v>1.04</v>
      </c>
      <c r="L163">
        <f t="shared" si="5"/>
        <v>14</v>
      </c>
    </row>
    <row r="164" spans="1:12" x14ac:dyDescent="0.3">
      <c r="A164" s="1">
        <v>45752</v>
      </c>
      <c r="B164" t="s">
        <v>5</v>
      </c>
      <c r="C164" s="3">
        <v>7</v>
      </c>
      <c r="D164" s="3">
        <v>3</v>
      </c>
      <c r="E164" s="3">
        <f t="shared" si="4"/>
        <v>21</v>
      </c>
      <c r="F164" s="3" t="s">
        <v>120</v>
      </c>
      <c r="G164">
        <f>VLOOKUP(B164,'Grade Formula'!$A$1:$F$7,2,FALSE)*C164*D164/1000</f>
        <v>6.72</v>
      </c>
      <c r="H164">
        <f>VLOOKUP(B164,'Grade Formula'!$A$1:$F$7,4,FALSE)*C164*D164/1000</f>
        <v>13.188000000000001</v>
      </c>
      <c r="I164">
        <f>VLOOKUP(B164,'Grade Formula'!$A$1:$F$7,6,FALSE)*C164*D164/1000</f>
        <v>9.8699999999999992</v>
      </c>
      <c r="J164">
        <f>VLOOKUP(B164,'Grade Formula'!$A$1:$F$7,5,FALSE)*C164*D164/1000</f>
        <v>12.6</v>
      </c>
      <c r="K164">
        <f>VLOOKUP(B164,'Grade Formula'!$A$1:$F$7,3,FALSE)*C164*D164/1000</f>
        <v>1.68</v>
      </c>
      <c r="L164">
        <f t="shared" si="5"/>
        <v>14</v>
      </c>
    </row>
    <row r="165" spans="1:12" x14ac:dyDescent="0.3">
      <c r="A165" s="1">
        <v>45753</v>
      </c>
      <c r="B165" t="s">
        <v>3</v>
      </c>
      <c r="C165" s="3">
        <v>6</v>
      </c>
      <c r="D165" s="3">
        <v>40</v>
      </c>
      <c r="E165" s="3">
        <f t="shared" si="4"/>
        <v>240</v>
      </c>
      <c r="F165" s="3" t="s">
        <v>137</v>
      </c>
      <c r="G165">
        <f>VLOOKUP(B165,'Grade Formula'!$A$1:$F$7,2,FALSE)*C165*D165/1000</f>
        <v>55.2</v>
      </c>
      <c r="H165">
        <f>VLOOKUP(B165,'Grade Formula'!$A$1:$F$7,4,FALSE)*C165*D165/1000</f>
        <v>161.28</v>
      </c>
      <c r="I165">
        <f>VLOOKUP(B165,'Grade Formula'!$A$1:$F$7,6,FALSE)*C165*D165/1000</f>
        <v>112.8</v>
      </c>
      <c r="J165">
        <f>VLOOKUP(B165,'Grade Formula'!$A$1:$F$7,5,FALSE)*C165*D165/1000</f>
        <v>142.80000000000001</v>
      </c>
      <c r="K165">
        <f>VLOOKUP(B165,'Grade Formula'!$A$1:$F$7,3,FALSE)*C165*D165/1000</f>
        <v>24</v>
      </c>
      <c r="L165">
        <f t="shared" si="5"/>
        <v>15</v>
      </c>
    </row>
    <row r="166" spans="1:12" x14ac:dyDescent="0.3">
      <c r="A166" s="1">
        <v>45754</v>
      </c>
      <c r="B166" t="s">
        <v>7</v>
      </c>
      <c r="C166" s="3">
        <v>6</v>
      </c>
      <c r="D166" s="3">
        <v>1</v>
      </c>
      <c r="E166" s="3">
        <f t="shared" si="4"/>
        <v>6</v>
      </c>
      <c r="F166" s="3" t="s">
        <v>152</v>
      </c>
      <c r="G166">
        <f>VLOOKUP(B166,'Grade Formula'!$A$1:$F$7,2,FALSE)*C166*D166/1000</f>
        <v>1.26</v>
      </c>
      <c r="H166">
        <f>VLOOKUP(B166,'Grade Formula'!$A$1:$F$7,4,FALSE)*C166*D166/1000</f>
        <v>4.6379999999999999</v>
      </c>
      <c r="I166">
        <f>VLOOKUP(B166,'Grade Formula'!$A$1:$F$7,6,FALSE)*C166*D166/1000</f>
        <v>2.94</v>
      </c>
      <c r="J166">
        <f>VLOOKUP(B166,'Grade Formula'!$A$1:$F$7,5,FALSE)*C166*D166/1000</f>
        <v>3.96</v>
      </c>
      <c r="K166">
        <f>VLOOKUP(B166,'Grade Formula'!$A$1:$F$7,3,FALSE)*C166*D166/1000</f>
        <v>0</v>
      </c>
      <c r="L166">
        <f t="shared" si="5"/>
        <v>15</v>
      </c>
    </row>
    <row r="167" spans="1:12" x14ac:dyDescent="0.3">
      <c r="A167" s="1">
        <v>45754</v>
      </c>
      <c r="B167" t="s">
        <v>7</v>
      </c>
      <c r="C167" s="3">
        <v>1</v>
      </c>
      <c r="D167" s="3">
        <v>1</v>
      </c>
      <c r="E167" s="3">
        <f t="shared" si="4"/>
        <v>1</v>
      </c>
      <c r="F167" s="3" t="s">
        <v>152</v>
      </c>
      <c r="G167">
        <f>VLOOKUP(B167,'Grade Formula'!$A$1:$F$7,2,FALSE)*C167*D167/1000</f>
        <v>0.21</v>
      </c>
      <c r="H167">
        <f>VLOOKUP(B167,'Grade Formula'!$A$1:$F$7,4,FALSE)*C167*D167/1000</f>
        <v>0.77300000000000002</v>
      </c>
      <c r="I167">
        <f>VLOOKUP(B167,'Grade Formula'!$A$1:$F$7,6,FALSE)*C167*D167/1000</f>
        <v>0.49</v>
      </c>
      <c r="J167">
        <f>VLOOKUP(B167,'Grade Formula'!$A$1:$F$7,5,FALSE)*C167*D167/1000</f>
        <v>0.66</v>
      </c>
      <c r="K167">
        <f>VLOOKUP(B167,'Grade Formula'!$A$1:$F$7,3,FALSE)*C167*D167/1000</f>
        <v>0</v>
      </c>
      <c r="L167">
        <f t="shared" si="5"/>
        <v>15</v>
      </c>
    </row>
    <row r="168" spans="1:12" x14ac:dyDescent="0.3">
      <c r="A168" s="1">
        <v>45754</v>
      </c>
      <c r="B168" t="s">
        <v>3</v>
      </c>
      <c r="C168" s="3">
        <v>7</v>
      </c>
      <c r="D168" s="3">
        <v>8</v>
      </c>
      <c r="E168" s="3">
        <f t="shared" si="4"/>
        <v>56</v>
      </c>
      <c r="F168" s="3" t="s">
        <v>158</v>
      </c>
      <c r="G168">
        <f>VLOOKUP(B168,'Grade Formula'!$A$1:$F$7,2,FALSE)*C168*D168/1000</f>
        <v>12.88</v>
      </c>
      <c r="H168">
        <f>VLOOKUP(B168,'Grade Formula'!$A$1:$F$7,4,FALSE)*C168*D168/1000</f>
        <v>37.631999999999998</v>
      </c>
      <c r="I168">
        <f>VLOOKUP(B168,'Grade Formula'!$A$1:$F$7,6,FALSE)*C168*D168/1000</f>
        <v>26.32</v>
      </c>
      <c r="J168">
        <f>VLOOKUP(B168,'Grade Formula'!$A$1:$F$7,5,FALSE)*C168*D168/1000</f>
        <v>33.32</v>
      </c>
      <c r="K168">
        <f>VLOOKUP(B168,'Grade Formula'!$A$1:$F$7,3,FALSE)*C168*D168/1000</f>
        <v>5.6</v>
      </c>
      <c r="L168">
        <f t="shared" si="5"/>
        <v>15</v>
      </c>
    </row>
    <row r="169" spans="1:12" x14ac:dyDescent="0.3">
      <c r="A169" s="1">
        <v>45754</v>
      </c>
      <c r="B169" t="s">
        <v>3</v>
      </c>
      <c r="C169" s="3">
        <v>6</v>
      </c>
      <c r="D169" s="3">
        <v>1</v>
      </c>
      <c r="E169" s="3">
        <f t="shared" si="4"/>
        <v>6</v>
      </c>
      <c r="F169" s="3" t="s">
        <v>158</v>
      </c>
      <c r="G169">
        <f>VLOOKUP(B169,'Grade Formula'!$A$1:$F$7,2,FALSE)*C169*D169/1000</f>
        <v>1.38</v>
      </c>
      <c r="H169">
        <f>VLOOKUP(B169,'Grade Formula'!$A$1:$F$7,4,FALSE)*C169*D169/1000</f>
        <v>4.032</v>
      </c>
      <c r="I169">
        <f>VLOOKUP(B169,'Grade Formula'!$A$1:$F$7,6,FALSE)*C169*D169/1000</f>
        <v>2.82</v>
      </c>
      <c r="J169">
        <f>VLOOKUP(B169,'Grade Formula'!$A$1:$F$7,5,FALSE)*C169*D169/1000</f>
        <v>3.57</v>
      </c>
      <c r="K169">
        <f>VLOOKUP(B169,'Grade Formula'!$A$1:$F$7,3,FALSE)*C169*D169/1000</f>
        <v>0.6</v>
      </c>
      <c r="L169">
        <f t="shared" si="5"/>
        <v>15</v>
      </c>
    </row>
    <row r="170" spans="1:12" x14ac:dyDescent="0.3">
      <c r="A170" s="1">
        <v>45754</v>
      </c>
      <c r="B170" t="s">
        <v>3</v>
      </c>
      <c r="C170" s="3">
        <v>6.5</v>
      </c>
      <c r="D170" s="3">
        <v>1</v>
      </c>
      <c r="E170" s="3">
        <f t="shared" si="4"/>
        <v>6.5</v>
      </c>
      <c r="F170" s="3" t="s">
        <v>158</v>
      </c>
      <c r="G170">
        <f>VLOOKUP(B170,'Grade Formula'!$A$1:$F$7,2,FALSE)*C170*D170/1000</f>
        <v>1.4950000000000001</v>
      </c>
      <c r="H170">
        <f>VLOOKUP(B170,'Grade Formula'!$A$1:$F$7,4,FALSE)*C170*D170/1000</f>
        <v>4.3680000000000003</v>
      </c>
      <c r="I170">
        <f>VLOOKUP(B170,'Grade Formula'!$A$1:$F$7,6,FALSE)*C170*D170/1000</f>
        <v>3.0550000000000002</v>
      </c>
      <c r="J170">
        <f>VLOOKUP(B170,'Grade Formula'!$A$1:$F$7,5,FALSE)*C170*D170/1000</f>
        <v>3.8675000000000002</v>
      </c>
      <c r="K170">
        <f>VLOOKUP(B170,'Grade Formula'!$A$1:$F$7,3,FALSE)*C170*D170/1000</f>
        <v>0.65</v>
      </c>
      <c r="L170">
        <f t="shared" si="5"/>
        <v>15</v>
      </c>
    </row>
    <row r="171" spans="1:12" x14ac:dyDescent="0.3">
      <c r="A171" s="1">
        <v>45754</v>
      </c>
      <c r="B171" t="s">
        <v>7</v>
      </c>
      <c r="C171" s="3">
        <v>6</v>
      </c>
      <c r="D171" s="3">
        <v>2</v>
      </c>
      <c r="E171" s="3">
        <f t="shared" si="4"/>
        <v>12</v>
      </c>
      <c r="F171" s="3" t="s">
        <v>139</v>
      </c>
      <c r="G171">
        <f>VLOOKUP(B171,'Grade Formula'!$A$1:$F$7,2,FALSE)*C171*D171/1000</f>
        <v>2.52</v>
      </c>
      <c r="H171">
        <f>VLOOKUP(B171,'Grade Formula'!$A$1:$F$7,4,FALSE)*C171*D171/1000</f>
        <v>9.2759999999999998</v>
      </c>
      <c r="I171">
        <f>VLOOKUP(B171,'Grade Formula'!$A$1:$F$7,6,FALSE)*C171*D171/1000</f>
        <v>5.88</v>
      </c>
      <c r="J171">
        <f>VLOOKUP(B171,'Grade Formula'!$A$1:$F$7,5,FALSE)*C171*D171/1000</f>
        <v>7.92</v>
      </c>
      <c r="K171">
        <f>VLOOKUP(B171,'Grade Formula'!$A$1:$F$7,3,FALSE)*C171*D171/1000</f>
        <v>0</v>
      </c>
      <c r="L171">
        <f t="shared" si="5"/>
        <v>15</v>
      </c>
    </row>
    <row r="172" spans="1:12" x14ac:dyDescent="0.3">
      <c r="A172" s="1">
        <v>45755</v>
      </c>
      <c r="B172" t="s">
        <v>5</v>
      </c>
      <c r="C172" s="3">
        <v>3</v>
      </c>
      <c r="D172" s="3">
        <v>3</v>
      </c>
      <c r="E172" s="3">
        <f t="shared" si="4"/>
        <v>9</v>
      </c>
      <c r="F172" s="3" t="s">
        <v>143</v>
      </c>
      <c r="G172">
        <f>VLOOKUP(B172,'Grade Formula'!$A$1:$F$7,2,FALSE)*C172*D172/1000</f>
        <v>2.88</v>
      </c>
      <c r="H172">
        <f>VLOOKUP(B172,'Grade Formula'!$A$1:$F$7,4,FALSE)*C172*D172/1000</f>
        <v>5.6520000000000001</v>
      </c>
      <c r="I172">
        <f>VLOOKUP(B172,'Grade Formula'!$A$1:$F$7,6,FALSE)*C172*D172/1000</f>
        <v>4.2300000000000004</v>
      </c>
      <c r="J172">
        <f>VLOOKUP(B172,'Grade Formula'!$A$1:$F$7,5,FALSE)*C172*D172/1000</f>
        <v>5.4</v>
      </c>
      <c r="K172">
        <f>VLOOKUP(B172,'Grade Formula'!$A$1:$F$7,3,FALSE)*C172*D172/1000</f>
        <v>0.72</v>
      </c>
      <c r="L172">
        <f t="shared" si="5"/>
        <v>15</v>
      </c>
    </row>
    <row r="173" spans="1:12" x14ac:dyDescent="0.3">
      <c r="A173" s="1">
        <v>45755</v>
      </c>
      <c r="B173" t="s">
        <v>7</v>
      </c>
      <c r="C173" s="3">
        <v>1</v>
      </c>
      <c r="D173" s="3">
        <v>1</v>
      </c>
      <c r="E173" s="3">
        <f t="shared" si="4"/>
        <v>1</v>
      </c>
      <c r="F173" s="3" t="s">
        <v>143</v>
      </c>
      <c r="G173">
        <f>VLOOKUP(B173,'Grade Formula'!$A$1:$F$7,2,FALSE)*C173*D173/1000</f>
        <v>0.21</v>
      </c>
      <c r="H173">
        <f>VLOOKUP(B173,'Grade Formula'!$A$1:$F$7,4,FALSE)*C173*D173/1000</f>
        <v>0.77300000000000002</v>
      </c>
      <c r="I173">
        <f>VLOOKUP(B173,'Grade Formula'!$A$1:$F$7,6,FALSE)*C173*D173/1000</f>
        <v>0.49</v>
      </c>
      <c r="J173">
        <f>VLOOKUP(B173,'Grade Formula'!$A$1:$F$7,5,FALSE)*C173*D173/1000</f>
        <v>0.66</v>
      </c>
      <c r="K173">
        <f>VLOOKUP(B173,'Grade Formula'!$A$1:$F$7,3,FALSE)*C173*D173/1000</f>
        <v>0</v>
      </c>
      <c r="L173">
        <f t="shared" si="5"/>
        <v>15</v>
      </c>
    </row>
    <row r="174" spans="1:12" x14ac:dyDescent="0.3">
      <c r="A174" s="1">
        <v>45755</v>
      </c>
      <c r="B174" t="s">
        <v>5</v>
      </c>
      <c r="C174" s="3">
        <v>6</v>
      </c>
      <c r="D174" s="3">
        <v>1</v>
      </c>
      <c r="E174" s="3">
        <f t="shared" si="4"/>
        <v>6</v>
      </c>
      <c r="F174" s="3" t="s">
        <v>104</v>
      </c>
      <c r="G174">
        <f>VLOOKUP(B174,'Grade Formula'!$A$1:$F$7,2,FALSE)*C174*D174/1000</f>
        <v>1.92</v>
      </c>
      <c r="H174">
        <f>VLOOKUP(B174,'Grade Formula'!$A$1:$F$7,4,FALSE)*C174*D174/1000</f>
        <v>3.7679999999999998</v>
      </c>
      <c r="I174">
        <f>VLOOKUP(B174,'Grade Formula'!$A$1:$F$7,6,FALSE)*C174*D174/1000</f>
        <v>2.82</v>
      </c>
      <c r="J174">
        <f>VLOOKUP(B174,'Grade Formula'!$A$1:$F$7,5,FALSE)*C174*D174/1000</f>
        <v>3.6</v>
      </c>
      <c r="K174">
        <f>VLOOKUP(B174,'Grade Formula'!$A$1:$F$7,3,FALSE)*C174*D174/1000</f>
        <v>0.48</v>
      </c>
      <c r="L174">
        <f t="shared" si="5"/>
        <v>15</v>
      </c>
    </row>
    <row r="175" spans="1:12" x14ac:dyDescent="0.3">
      <c r="A175" s="1">
        <v>45755</v>
      </c>
      <c r="B175" t="s">
        <v>5</v>
      </c>
      <c r="C175" s="3">
        <v>8</v>
      </c>
      <c r="D175" s="3">
        <v>1</v>
      </c>
      <c r="E175" s="3">
        <f t="shared" si="4"/>
        <v>8</v>
      </c>
      <c r="F175" s="3" t="s">
        <v>104</v>
      </c>
      <c r="G175">
        <f>VLOOKUP(B175,'Grade Formula'!$A$1:$F$7,2,FALSE)*C175*D175/1000</f>
        <v>2.56</v>
      </c>
      <c r="H175">
        <f>VLOOKUP(B175,'Grade Formula'!$A$1:$F$7,4,FALSE)*C175*D175/1000</f>
        <v>5.024</v>
      </c>
      <c r="I175">
        <f>VLOOKUP(B175,'Grade Formula'!$A$1:$F$7,6,FALSE)*C175*D175/1000</f>
        <v>3.76</v>
      </c>
      <c r="J175">
        <f>VLOOKUP(B175,'Grade Formula'!$A$1:$F$7,5,FALSE)*C175*D175/1000</f>
        <v>4.8</v>
      </c>
      <c r="K175">
        <f>VLOOKUP(B175,'Grade Formula'!$A$1:$F$7,3,FALSE)*C175*D175/1000</f>
        <v>0.64</v>
      </c>
      <c r="L175">
        <f t="shared" si="5"/>
        <v>15</v>
      </c>
    </row>
    <row r="176" spans="1:12" x14ac:dyDescent="0.3">
      <c r="A176" s="1">
        <v>45755</v>
      </c>
      <c r="B176" t="s">
        <v>3</v>
      </c>
      <c r="C176" s="3">
        <v>7</v>
      </c>
      <c r="D176" s="3">
        <v>2</v>
      </c>
      <c r="E176" s="3">
        <f t="shared" si="4"/>
        <v>14</v>
      </c>
      <c r="F176" s="3" t="s">
        <v>152</v>
      </c>
      <c r="G176">
        <f>VLOOKUP(B176,'Grade Formula'!$A$1:$F$7,2,FALSE)*C176*D176/1000</f>
        <v>3.22</v>
      </c>
      <c r="H176">
        <f>VLOOKUP(B176,'Grade Formula'!$A$1:$F$7,4,FALSE)*C176*D176/1000</f>
        <v>9.4079999999999995</v>
      </c>
      <c r="I176">
        <f>VLOOKUP(B176,'Grade Formula'!$A$1:$F$7,6,FALSE)*C176*D176/1000</f>
        <v>6.58</v>
      </c>
      <c r="J176">
        <f>VLOOKUP(B176,'Grade Formula'!$A$1:$F$7,5,FALSE)*C176*D176/1000</f>
        <v>8.33</v>
      </c>
      <c r="K176">
        <f>VLOOKUP(B176,'Grade Formula'!$A$1:$F$7,3,FALSE)*C176*D176/1000</f>
        <v>1.4</v>
      </c>
      <c r="L176">
        <f t="shared" si="5"/>
        <v>15</v>
      </c>
    </row>
    <row r="177" spans="1:12" x14ac:dyDescent="0.3">
      <c r="A177" s="1">
        <v>45757</v>
      </c>
      <c r="B177" t="s">
        <v>5</v>
      </c>
      <c r="C177" s="3">
        <v>5.25</v>
      </c>
      <c r="D177" s="3">
        <v>2</v>
      </c>
      <c r="E177" s="3">
        <f t="shared" si="4"/>
        <v>10.5</v>
      </c>
      <c r="F177" s="3" t="s">
        <v>142</v>
      </c>
      <c r="G177">
        <f>VLOOKUP(B177,'Grade Formula'!$A$1:$F$7,2,FALSE)*C177*D177/1000</f>
        <v>3.36</v>
      </c>
      <c r="H177">
        <f>VLOOKUP(B177,'Grade Formula'!$A$1:$F$7,4,FALSE)*C177*D177/1000</f>
        <v>6.5940000000000003</v>
      </c>
      <c r="I177">
        <f>VLOOKUP(B177,'Grade Formula'!$A$1:$F$7,6,FALSE)*C177*D177/1000</f>
        <v>4.9349999999999996</v>
      </c>
      <c r="J177">
        <f>VLOOKUP(B177,'Grade Formula'!$A$1:$F$7,5,FALSE)*C177*D177/1000</f>
        <v>6.3</v>
      </c>
      <c r="K177">
        <f>VLOOKUP(B177,'Grade Formula'!$A$1:$F$7,3,FALSE)*C177*D177/1000</f>
        <v>0.84</v>
      </c>
      <c r="L177">
        <f t="shared" si="5"/>
        <v>15</v>
      </c>
    </row>
    <row r="178" spans="1:12" x14ac:dyDescent="0.3">
      <c r="A178" s="1">
        <v>45757</v>
      </c>
      <c r="B178" t="s">
        <v>3</v>
      </c>
      <c r="C178" s="3">
        <v>7</v>
      </c>
      <c r="D178" s="3">
        <v>7</v>
      </c>
      <c r="E178" s="3">
        <f t="shared" si="4"/>
        <v>49</v>
      </c>
      <c r="F178" s="3" t="s">
        <v>153</v>
      </c>
      <c r="G178">
        <f>VLOOKUP(B178,'Grade Formula'!$A$1:$F$7,2,FALSE)*C178*D178/1000</f>
        <v>11.27</v>
      </c>
      <c r="H178">
        <f>VLOOKUP(B178,'Grade Formula'!$A$1:$F$7,4,FALSE)*C178*D178/1000</f>
        <v>32.927999999999997</v>
      </c>
      <c r="I178">
        <f>VLOOKUP(B178,'Grade Formula'!$A$1:$F$7,6,FALSE)*C178*D178/1000</f>
        <v>23.03</v>
      </c>
      <c r="J178">
        <f>VLOOKUP(B178,'Grade Formula'!$A$1:$F$7,5,FALSE)*C178*D178/1000</f>
        <v>29.155000000000001</v>
      </c>
      <c r="K178">
        <f>VLOOKUP(B178,'Grade Formula'!$A$1:$F$7,3,FALSE)*C178*D178/1000</f>
        <v>4.9000000000000004</v>
      </c>
      <c r="L178">
        <f t="shared" si="5"/>
        <v>15</v>
      </c>
    </row>
    <row r="179" spans="1:12" x14ac:dyDescent="0.3">
      <c r="A179" s="1">
        <v>45758</v>
      </c>
      <c r="B179" t="s">
        <v>5</v>
      </c>
      <c r="C179" s="3">
        <v>6</v>
      </c>
      <c r="D179" s="3">
        <v>1</v>
      </c>
      <c r="E179" s="3">
        <f t="shared" si="4"/>
        <v>6</v>
      </c>
      <c r="F179" s="3" t="s">
        <v>104</v>
      </c>
      <c r="G179">
        <f>VLOOKUP(B179,'Grade Formula'!$A$1:$F$7,2,FALSE)*C179*D179/1000</f>
        <v>1.92</v>
      </c>
      <c r="H179">
        <f>VLOOKUP(B179,'Grade Formula'!$A$1:$F$7,4,FALSE)*C179*D179/1000</f>
        <v>3.7679999999999998</v>
      </c>
      <c r="I179">
        <f>VLOOKUP(B179,'Grade Formula'!$A$1:$F$7,6,FALSE)*C179*D179/1000</f>
        <v>2.82</v>
      </c>
      <c r="J179">
        <f>VLOOKUP(B179,'Grade Formula'!$A$1:$F$7,5,FALSE)*C179*D179/1000</f>
        <v>3.6</v>
      </c>
      <c r="K179">
        <f>VLOOKUP(B179,'Grade Formula'!$A$1:$F$7,3,FALSE)*C179*D179/1000</f>
        <v>0.48</v>
      </c>
      <c r="L179">
        <f t="shared" si="5"/>
        <v>15</v>
      </c>
    </row>
    <row r="180" spans="1:12" x14ac:dyDescent="0.3">
      <c r="A180" s="1">
        <v>45758</v>
      </c>
      <c r="B180" t="s">
        <v>5</v>
      </c>
      <c r="C180" s="3">
        <v>7</v>
      </c>
      <c r="D180" s="3">
        <v>4</v>
      </c>
      <c r="E180" s="3">
        <f t="shared" si="4"/>
        <v>28</v>
      </c>
      <c r="F180" s="3" t="s">
        <v>94</v>
      </c>
      <c r="G180">
        <f>VLOOKUP(B180,'Grade Formula'!$A$1:$F$7,2,FALSE)*C180*D180/1000</f>
        <v>8.9600000000000009</v>
      </c>
      <c r="H180">
        <f>VLOOKUP(B180,'Grade Formula'!$A$1:$F$7,4,FALSE)*C180*D180/1000</f>
        <v>17.584</v>
      </c>
      <c r="I180">
        <f>VLOOKUP(B180,'Grade Formula'!$A$1:$F$7,6,FALSE)*C180*D180/1000</f>
        <v>13.16</v>
      </c>
      <c r="J180">
        <f>VLOOKUP(B180,'Grade Formula'!$A$1:$F$7,5,FALSE)*C180*D180/1000</f>
        <v>16.8</v>
      </c>
      <c r="K180">
        <f>VLOOKUP(B180,'Grade Formula'!$A$1:$F$7,3,FALSE)*C180*D180/1000</f>
        <v>2.2400000000000002</v>
      </c>
      <c r="L180">
        <f t="shared" si="5"/>
        <v>15</v>
      </c>
    </row>
    <row r="181" spans="1:12" x14ac:dyDescent="0.3">
      <c r="A181" s="1">
        <v>45758</v>
      </c>
      <c r="B181" t="s">
        <v>5</v>
      </c>
      <c r="C181" s="3">
        <v>6</v>
      </c>
      <c r="D181" s="3">
        <v>1</v>
      </c>
      <c r="E181" s="3">
        <f t="shared" si="4"/>
        <v>6</v>
      </c>
      <c r="F181" s="3" t="s">
        <v>94</v>
      </c>
      <c r="G181">
        <f>VLOOKUP(B181,'Grade Formula'!$A$1:$F$7,2,FALSE)*C181*D181/1000</f>
        <v>1.92</v>
      </c>
      <c r="H181">
        <f>VLOOKUP(B181,'Grade Formula'!$A$1:$F$7,4,FALSE)*C181*D181/1000</f>
        <v>3.7679999999999998</v>
      </c>
      <c r="I181">
        <f>VLOOKUP(B181,'Grade Formula'!$A$1:$F$7,6,FALSE)*C181*D181/1000</f>
        <v>2.82</v>
      </c>
      <c r="J181">
        <f>VLOOKUP(B181,'Grade Formula'!$A$1:$F$7,5,FALSE)*C181*D181/1000</f>
        <v>3.6</v>
      </c>
      <c r="K181">
        <f>VLOOKUP(B181,'Grade Formula'!$A$1:$F$7,3,FALSE)*C181*D181/1000</f>
        <v>0.48</v>
      </c>
      <c r="L181">
        <f t="shared" si="5"/>
        <v>15</v>
      </c>
    </row>
    <row r="182" spans="1:12" x14ac:dyDescent="0.3">
      <c r="A182" s="1">
        <v>45758</v>
      </c>
      <c r="B182" t="s">
        <v>3</v>
      </c>
      <c r="C182" s="3">
        <v>7</v>
      </c>
      <c r="D182" s="3">
        <v>2</v>
      </c>
      <c r="E182" s="3">
        <f t="shared" si="4"/>
        <v>14</v>
      </c>
      <c r="F182" s="3" t="s">
        <v>94</v>
      </c>
      <c r="G182">
        <f>VLOOKUP(B182,'Grade Formula'!$A$1:$F$7,2,FALSE)*C182*D182/1000</f>
        <v>3.22</v>
      </c>
      <c r="H182">
        <f>VLOOKUP(B182,'Grade Formula'!$A$1:$F$7,4,FALSE)*C182*D182/1000</f>
        <v>9.4079999999999995</v>
      </c>
      <c r="I182">
        <f>VLOOKUP(B182,'Grade Formula'!$A$1:$F$7,6,FALSE)*C182*D182/1000</f>
        <v>6.58</v>
      </c>
      <c r="J182">
        <f>VLOOKUP(B182,'Grade Formula'!$A$1:$F$7,5,FALSE)*C182*D182/1000</f>
        <v>8.33</v>
      </c>
      <c r="K182">
        <f>VLOOKUP(B182,'Grade Formula'!$A$1:$F$7,3,FALSE)*C182*D182/1000</f>
        <v>1.4</v>
      </c>
      <c r="L182">
        <f t="shared" si="5"/>
        <v>15</v>
      </c>
    </row>
    <row r="183" spans="1:12" x14ac:dyDescent="0.3">
      <c r="A183" s="1">
        <v>45758</v>
      </c>
      <c r="B183" t="s">
        <v>5</v>
      </c>
      <c r="C183" s="3">
        <v>6.5</v>
      </c>
      <c r="D183" s="3">
        <v>1</v>
      </c>
      <c r="E183" s="3">
        <f t="shared" si="4"/>
        <v>6.5</v>
      </c>
      <c r="F183" s="3" t="s">
        <v>94</v>
      </c>
      <c r="G183">
        <f>VLOOKUP(B183,'Grade Formula'!$A$1:$F$7,2,FALSE)*C183*D183/1000</f>
        <v>2.08</v>
      </c>
      <c r="H183">
        <f>VLOOKUP(B183,'Grade Formula'!$A$1:$F$7,4,FALSE)*C183*D183/1000</f>
        <v>4.0819999999999999</v>
      </c>
      <c r="I183">
        <f>VLOOKUP(B183,'Grade Formula'!$A$1:$F$7,6,FALSE)*C183*D183/1000</f>
        <v>3.0550000000000002</v>
      </c>
      <c r="J183">
        <f>VLOOKUP(B183,'Grade Formula'!$A$1:$F$7,5,FALSE)*C183*D183/1000</f>
        <v>3.9</v>
      </c>
      <c r="K183">
        <f>VLOOKUP(B183,'Grade Formula'!$A$1:$F$7,3,FALSE)*C183*D183/1000</f>
        <v>0.52</v>
      </c>
      <c r="L183">
        <f t="shared" si="5"/>
        <v>15</v>
      </c>
    </row>
    <row r="184" spans="1:12" x14ac:dyDescent="0.3">
      <c r="A184" s="1">
        <v>45758</v>
      </c>
      <c r="B184" t="s">
        <v>5</v>
      </c>
      <c r="C184" s="3">
        <v>4</v>
      </c>
      <c r="D184" s="3">
        <v>1</v>
      </c>
      <c r="E184" s="3">
        <f t="shared" si="4"/>
        <v>4</v>
      </c>
      <c r="F184" s="3" t="s">
        <v>104</v>
      </c>
      <c r="G184">
        <f>VLOOKUP(B184,'Grade Formula'!$A$1:$F$7,2,FALSE)*C184*D184/1000</f>
        <v>1.28</v>
      </c>
      <c r="H184">
        <f>VLOOKUP(B184,'Grade Formula'!$A$1:$F$7,4,FALSE)*C184*D184/1000</f>
        <v>2.512</v>
      </c>
      <c r="I184">
        <f>VLOOKUP(B184,'Grade Formula'!$A$1:$F$7,6,FALSE)*C184*D184/1000</f>
        <v>1.88</v>
      </c>
      <c r="J184">
        <f>VLOOKUP(B184,'Grade Formula'!$A$1:$F$7,5,FALSE)*C184*D184/1000</f>
        <v>2.4</v>
      </c>
      <c r="K184">
        <f>VLOOKUP(B184,'Grade Formula'!$A$1:$F$7,3,FALSE)*C184*D184/1000</f>
        <v>0.32</v>
      </c>
      <c r="L184">
        <f t="shared" si="5"/>
        <v>15</v>
      </c>
    </row>
    <row r="185" spans="1:12" x14ac:dyDescent="0.3">
      <c r="A185" s="1">
        <v>45759</v>
      </c>
      <c r="B185" t="s">
        <v>3</v>
      </c>
      <c r="C185" s="3">
        <v>6</v>
      </c>
      <c r="D185" s="3">
        <v>1</v>
      </c>
      <c r="E185" s="3">
        <f t="shared" si="4"/>
        <v>6</v>
      </c>
      <c r="F185" s="3" t="s">
        <v>126</v>
      </c>
      <c r="G185">
        <f>VLOOKUP(B185,'Grade Formula'!$A$1:$F$7,2,FALSE)*C185*D185/1000</f>
        <v>1.38</v>
      </c>
      <c r="H185">
        <f>VLOOKUP(B185,'Grade Formula'!$A$1:$F$7,4,FALSE)*C185*D185/1000</f>
        <v>4.032</v>
      </c>
      <c r="I185">
        <f>VLOOKUP(B185,'Grade Formula'!$A$1:$F$7,6,FALSE)*C185*D185/1000</f>
        <v>2.82</v>
      </c>
      <c r="J185">
        <f>VLOOKUP(B185,'Grade Formula'!$A$1:$F$7,5,FALSE)*C185*D185/1000</f>
        <v>3.57</v>
      </c>
      <c r="K185">
        <f>VLOOKUP(B185,'Grade Formula'!$A$1:$F$7,3,FALSE)*C185*D185/1000</f>
        <v>0.6</v>
      </c>
      <c r="L185">
        <f t="shared" si="5"/>
        <v>15</v>
      </c>
    </row>
    <row r="186" spans="1:12" x14ac:dyDescent="0.3">
      <c r="A186" s="1">
        <v>45759</v>
      </c>
      <c r="B186" t="s">
        <v>3</v>
      </c>
      <c r="C186" s="3">
        <v>5.5</v>
      </c>
      <c r="D186" s="3">
        <v>1</v>
      </c>
      <c r="E186" s="3">
        <f t="shared" si="4"/>
        <v>5.5</v>
      </c>
      <c r="F186" s="3" t="s">
        <v>126</v>
      </c>
      <c r="G186">
        <f>VLOOKUP(B186,'Grade Formula'!$A$1:$F$7,2,FALSE)*C186*D186/1000</f>
        <v>1.2649999999999999</v>
      </c>
      <c r="H186">
        <f>VLOOKUP(B186,'Grade Formula'!$A$1:$F$7,4,FALSE)*C186*D186/1000</f>
        <v>3.6960000000000002</v>
      </c>
      <c r="I186">
        <f>VLOOKUP(B186,'Grade Formula'!$A$1:$F$7,6,FALSE)*C186*D186/1000</f>
        <v>2.585</v>
      </c>
      <c r="J186">
        <f>VLOOKUP(B186,'Grade Formula'!$A$1:$F$7,5,FALSE)*C186*D186/1000</f>
        <v>3.2725</v>
      </c>
      <c r="K186">
        <f>VLOOKUP(B186,'Grade Formula'!$A$1:$F$7,3,FALSE)*C186*D186/1000</f>
        <v>0.55000000000000004</v>
      </c>
      <c r="L186">
        <f t="shared" si="5"/>
        <v>15</v>
      </c>
    </row>
    <row r="187" spans="1:12" x14ac:dyDescent="0.3">
      <c r="A187" s="1">
        <v>45759</v>
      </c>
      <c r="B187" t="s">
        <v>5</v>
      </c>
      <c r="C187" s="3">
        <v>1</v>
      </c>
      <c r="D187" s="3">
        <v>1</v>
      </c>
      <c r="E187" s="3">
        <f t="shared" si="4"/>
        <v>1</v>
      </c>
      <c r="F187" s="3" t="s">
        <v>104</v>
      </c>
      <c r="G187">
        <f>VLOOKUP(B187,'Grade Formula'!$A$1:$F$7,2,FALSE)*C187*D187/1000</f>
        <v>0.32</v>
      </c>
      <c r="H187">
        <f>VLOOKUP(B187,'Grade Formula'!$A$1:$F$7,4,FALSE)*C187*D187/1000</f>
        <v>0.628</v>
      </c>
      <c r="I187">
        <f>VLOOKUP(B187,'Grade Formula'!$A$1:$F$7,6,FALSE)*C187*D187/1000</f>
        <v>0.47</v>
      </c>
      <c r="J187">
        <f>VLOOKUP(B187,'Grade Formula'!$A$1:$F$7,5,FALSE)*C187*D187/1000</f>
        <v>0.6</v>
      </c>
      <c r="K187">
        <f>VLOOKUP(B187,'Grade Formula'!$A$1:$F$7,3,FALSE)*C187*D187/1000</f>
        <v>0.08</v>
      </c>
      <c r="L187">
        <f t="shared" si="5"/>
        <v>15</v>
      </c>
    </row>
    <row r="188" spans="1:12" x14ac:dyDescent="0.3">
      <c r="A188" s="1">
        <v>45759</v>
      </c>
      <c r="B188" t="s">
        <v>4</v>
      </c>
      <c r="C188" s="3">
        <v>6</v>
      </c>
      <c r="D188" s="3">
        <v>4</v>
      </c>
      <c r="E188" s="3">
        <f t="shared" si="4"/>
        <v>24</v>
      </c>
      <c r="F188" s="3" t="s">
        <v>137</v>
      </c>
      <c r="G188">
        <f>VLOOKUP(B188,'Grade Formula'!$A$1:$F$7,2,FALSE)*C188*D188/1000</f>
        <v>6</v>
      </c>
      <c r="H188">
        <f>VLOOKUP(B188,'Grade Formula'!$A$1:$F$7,4,FALSE)*C188*D188/1000</f>
        <v>19.584</v>
      </c>
      <c r="I188">
        <f>VLOOKUP(B188,'Grade Formula'!$A$1:$F$7,6,FALSE)*C188*D188/1000</f>
        <v>11.472</v>
      </c>
      <c r="J188">
        <f>VLOOKUP(B188,'Grade Formula'!$A$1:$F$7,5,FALSE)*C188*D188/1000</f>
        <v>14.064</v>
      </c>
      <c r="K188">
        <f>VLOOKUP(B188,'Grade Formula'!$A$1:$F$7,3,FALSE)*C188*D188/1000</f>
        <v>2.64</v>
      </c>
      <c r="L188">
        <f t="shared" si="5"/>
        <v>15</v>
      </c>
    </row>
    <row r="189" spans="1:12" x14ac:dyDescent="0.3">
      <c r="A189" s="1">
        <v>45759</v>
      </c>
      <c r="B189" t="s">
        <v>5</v>
      </c>
      <c r="C189" s="3">
        <v>6</v>
      </c>
      <c r="D189" s="3">
        <v>2</v>
      </c>
      <c r="E189" s="3">
        <f t="shared" si="4"/>
        <v>12</v>
      </c>
      <c r="F189" s="3" t="s">
        <v>108</v>
      </c>
      <c r="G189">
        <f>VLOOKUP(B189,'Grade Formula'!$A$1:$F$7,2,FALSE)*C189*D189/1000</f>
        <v>3.84</v>
      </c>
      <c r="H189">
        <f>VLOOKUP(B189,'Grade Formula'!$A$1:$F$7,4,FALSE)*C189*D189/1000</f>
        <v>7.5359999999999996</v>
      </c>
      <c r="I189">
        <f>VLOOKUP(B189,'Grade Formula'!$A$1:$F$7,6,FALSE)*C189*D189/1000</f>
        <v>5.64</v>
      </c>
      <c r="J189">
        <f>VLOOKUP(B189,'Grade Formula'!$A$1:$F$7,5,FALSE)*C189*D189/1000</f>
        <v>7.2</v>
      </c>
      <c r="K189">
        <f>VLOOKUP(B189,'Grade Formula'!$A$1:$F$7,3,FALSE)*C189*D189/1000</f>
        <v>0.96</v>
      </c>
      <c r="L189">
        <f t="shared" si="5"/>
        <v>15</v>
      </c>
    </row>
    <row r="190" spans="1:12" x14ac:dyDescent="0.3">
      <c r="A190" s="1">
        <v>45759</v>
      </c>
      <c r="B190" t="s">
        <v>5</v>
      </c>
      <c r="C190" s="3">
        <v>7</v>
      </c>
      <c r="D190" s="3">
        <v>1</v>
      </c>
      <c r="E190" s="3">
        <f t="shared" si="4"/>
        <v>7</v>
      </c>
      <c r="F190" s="3" t="s">
        <v>108</v>
      </c>
      <c r="G190">
        <f>VLOOKUP(B190,'Grade Formula'!$A$1:$F$7,2,FALSE)*C190*D190/1000</f>
        <v>2.2400000000000002</v>
      </c>
      <c r="H190">
        <f>VLOOKUP(B190,'Grade Formula'!$A$1:$F$7,4,FALSE)*C190*D190/1000</f>
        <v>4.3959999999999999</v>
      </c>
      <c r="I190">
        <f>VLOOKUP(B190,'Grade Formula'!$A$1:$F$7,6,FALSE)*C190*D190/1000</f>
        <v>3.29</v>
      </c>
      <c r="J190">
        <f>VLOOKUP(B190,'Grade Formula'!$A$1:$F$7,5,FALSE)*C190*D190/1000</f>
        <v>4.2</v>
      </c>
      <c r="K190">
        <f>VLOOKUP(B190,'Grade Formula'!$A$1:$F$7,3,FALSE)*C190*D190/1000</f>
        <v>0.56000000000000005</v>
      </c>
      <c r="L190">
        <f t="shared" si="5"/>
        <v>15</v>
      </c>
    </row>
    <row r="191" spans="1:12" x14ac:dyDescent="0.3">
      <c r="A191" s="1">
        <v>45760</v>
      </c>
      <c r="B191" t="s">
        <v>4</v>
      </c>
      <c r="C191" s="3">
        <v>6.5</v>
      </c>
      <c r="D191" s="3">
        <v>1</v>
      </c>
      <c r="E191" s="3">
        <f t="shared" si="4"/>
        <v>6.5</v>
      </c>
      <c r="F191" s="3" t="s">
        <v>137</v>
      </c>
      <c r="G191">
        <f>VLOOKUP(B191,'Grade Formula'!$A$1:$F$7,2,FALSE)*C191*D191/1000</f>
        <v>1.625</v>
      </c>
      <c r="H191">
        <f>VLOOKUP(B191,'Grade Formula'!$A$1:$F$7,4,FALSE)*C191*D191/1000</f>
        <v>5.3040000000000003</v>
      </c>
      <c r="I191">
        <f>VLOOKUP(B191,'Grade Formula'!$A$1:$F$7,6,FALSE)*C191*D191/1000</f>
        <v>3.1070000000000002</v>
      </c>
      <c r="J191">
        <f>VLOOKUP(B191,'Grade Formula'!$A$1:$F$7,5,FALSE)*C191*D191/1000</f>
        <v>3.8090000000000002</v>
      </c>
      <c r="K191">
        <f>VLOOKUP(B191,'Grade Formula'!$A$1:$F$7,3,FALSE)*C191*D191/1000</f>
        <v>0.71499999999999997</v>
      </c>
      <c r="L191">
        <f t="shared" si="5"/>
        <v>16</v>
      </c>
    </row>
    <row r="192" spans="1:12" x14ac:dyDescent="0.3">
      <c r="A192" s="1">
        <v>45760</v>
      </c>
      <c r="B192" t="s">
        <v>3</v>
      </c>
      <c r="C192" s="3">
        <v>3</v>
      </c>
      <c r="D192" s="3">
        <v>1</v>
      </c>
      <c r="E192" s="3">
        <f t="shared" si="4"/>
        <v>3</v>
      </c>
      <c r="F192" s="3" t="s">
        <v>112</v>
      </c>
      <c r="G192">
        <f>VLOOKUP(B192,'Grade Formula'!$A$1:$F$7,2,FALSE)*C192*D192/1000</f>
        <v>0.69</v>
      </c>
      <c r="H192">
        <f>VLOOKUP(B192,'Grade Formula'!$A$1:$F$7,4,FALSE)*C192*D192/1000</f>
        <v>2.016</v>
      </c>
      <c r="I192">
        <f>VLOOKUP(B192,'Grade Formula'!$A$1:$F$7,6,FALSE)*C192*D192/1000</f>
        <v>1.41</v>
      </c>
      <c r="J192">
        <f>VLOOKUP(B192,'Grade Formula'!$A$1:$F$7,5,FALSE)*C192*D192/1000</f>
        <v>1.7849999999999999</v>
      </c>
      <c r="K192">
        <f>VLOOKUP(B192,'Grade Formula'!$A$1:$F$7,3,FALSE)*C192*D192/1000</f>
        <v>0.3</v>
      </c>
      <c r="L192">
        <f t="shared" si="5"/>
        <v>16</v>
      </c>
    </row>
    <row r="193" spans="1:12" x14ac:dyDescent="0.3">
      <c r="A193" s="1">
        <v>45761</v>
      </c>
      <c r="B193" t="s">
        <v>4</v>
      </c>
      <c r="C193" s="3">
        <v>5.5</v>
      </c>
      <c r="D193" s="3">
        <v>1</v>
      </c>
      <c r="E193" s="3">
        <f t="shared" si="4"/>
        <v>5.5</v>
      </c>
      <c r="F193" s="3" t="s">
        <v>137</v>
      </c>
      <c r="G193">
        <f>VLOOKUP(B193,'Grade Formula'!$A$1:$F$7,2,FALSE)*C193*D193/1000</f>
        <v>1.375</v>
      </c>
      <c r="H193">
        <f>VLOOKUP(B193,'Grade Formula'!$A$1:$F$7,4,FALSE)*C193*D193/1000</f>
        <v>4.4880000000000004</v>
      </c>
      <c r="I193">
        <f>VLOOKUP(B193,'Grade Formula'!$A$1:$F$7,6,FALSE)*C193*D193/1000</f>
        <v>2.629</v>
      </c>
      <c r="J193">
        <f>VLOOKUP(B193,'Grade Formula'!$A$1:$F$7,5,FALSE)*C193*D193/1000</f>
        <v>3.2229999999999999</v>
      </c>
      <c r="K193">
        <f>VLOOKUP(B193,'Grade Formula'!$A$1:$F$7,3,FALSE)*C193*D193/1000</f>
        <v>0.60499999999999998</v>
      </c>
      <c r="L193">
        <f t="shared" si="5"/>
        <v>16</v>
      </c>
    </row>
    <row r="194" spans="1:12" x14ac:dyDescent="0.3">
      <c r="A194" s="1">
        <v>45761</v>
      </c>
      <c r="B194" t="s">
        <v>3</v>
      </c>
      <c r="C194" s="3">
        <v>6.5</v>
      </c>
      <c r="D194" s="3">
        <v>1</v>
      </c>
      <c r="E194" s="3">
        <f t="shared" si="4"/>
        <v>6.5</v>
      </c>
      <c r="F194" s="3" t="s">
        <v>83</v>
      </c>
      <c r="G194">
        <f>VLOOKUP(B194,'Grade Formula'!$A$1:$F$7,2,FALSE)*C194*D194/1000</f>
        <v>1.4950000000000001</v>
      </c>
      <c r="H194">
        <f>VLOOKUP(B194,'Grade Formula'!$A$1:$F$7,4,FALSE)*C194*D194/1000</f>
        <v>4.3680000000000003</v>
      </c>
      <c r="I194">
        <f>VLOOKUP(B194,'Grade Formula'!$A$1:$F$7,6,FALSE)*C194*D194/1000</f>
        <v>3.0550000000000002</v>
      </c>
      <c r="J194">
        <f>VLOOKUP(B194,'Grade Formula'!$A$1:$F$7,5,FALSE)*C194*D194/1000</f>
        <v>3.8675000000000002</v>
      </c>
      <c r="K194">
        <f>VLOOKUP(B194,'Grade Formula'!$A$1:$F$7,3,FALSE)*C194*D194/1000</f>
        <v>0.65</v>
      </c>
      <c r="L194">
        <f t="shared" si="5"/>
        <v>16</v>
      </c>
    </row>
    <row r="195" spans="1:12" x14ac:dyDescent="0.3">
      <c r="A195" s="1">
        <v>45761</v>
      </c>
      <c r="B195" t="s">
        <v>3</v>
      </c>
      <c r="C195" s="3">
        <v>6</v>
      </c>
      <c r="D195" s="3">
        <v>1</v>
      </c>
      <c r="E195" s="3">
        <f t="shared" ref="E195:E258" si="6">C195*D195</f>
        <v>6</v>
      </c>
      <c r="F195" s="3" t="s">
        <v>83</v>
      </c>
      <c r="G195">
        <f>VLOOKUP(B195,'Grade Formula'!$A$1:$F$7,2,FALSE)*C195*D195/1000</f>
        <v>1.38</v>
      </c>
      <c r="H195">
        <f>VLOOKUP(B195,'Grade Formula'!$A$1:$F$7,4,FALSE)*C195*D195/1000</f>
        <v>4.032</v>
      </c>
      <c r="I195">
        <f>VLOOKUP(B195,'Grade Formula'!$A$1:$F$7,6,FALSE)*C195*D195/1000</f>
        <v>2.82</v>
      </c>
      <c r="J195">
        <f>VLOOKUP(B195,'Grade Formula'!$A$1:$F$7,5,FALSE)*C195*D195/1000</f>
        <v>3.57</v>
      </c>
      <c r="K195">
        <f>VLOOKUP(B195,'Grade Formula'!$A$1:$F$7,3,FALSE)*C195*D195/1000</f>
        <v>0.6</v>
      </c>
      <c r="L195">
        <f t="shared" ref="L195:L258" si="7">WEEKNUM(A195)</f>
        <v>16</v>
      </c>
    </row>
    <row r="196" spans="1:12" x14ac:dyDescent="0.3">
      <c r="A196" s="1">
        <v>45761</v>
      </c>
      <c r="B196" t="s">
        <v>5</v>
      </c>
      <c r="C196" s="3">
        <v>3</v>
      </c>
      <c r="D196" s="3">
        <v>1</v>
      </c>
      <c r="E196" s="3">
        <f t="shared" si="6"/>
        <v>3</v>
      </c>
      <c r="F196" s="3" t="s">
        <v>142</v>
      </c>
      <c r="G196">
        <f>VLOOKUP(B196,'Grade Formula'!$A$1:$F$7,2,FALSE)*C196*D196/1000</f>
        <v>0.96</v>
      </c>
      <c r="H196">
        <f>VLOOKUP(B196,'Grade Formula'!$A$1:$F$7,4,FALSE)*C196*D196/1000</f>
        <v>1.8839999999999999</v>
      </c>
      <c r="I196">
        <f>VLOOKUP(B196,'Grade Formula'!$A$1:$F$7,6,FALSE)*C196*D196/1000</f>
        <v>1.41</v>
      </c>
      <c r="J196">
        <f>VLOOKUP(B196,'Grade Formula'!$A$1:$F$7,5,FALSE)*C196*D196/1000</f>
        <v>1.8</v>
      </c>
      <c r="K196">
        <f>VLOOKUP(B196,'Grade Formula'!$A$1:$F$7,3,FALSE)*C196*D196/1000</f>
        <v>0.24</v>
      </c>
      <c r="L196">
        <f t="shared" si="7"/>
        <v>16</v>
      </c>
    </row>
    <row r="197" spans="1:12" x14ac:dyDescent="0.3">
      <c r="A197" s="1">
        <v>45761</v>
      </c>
      <c r="B197" t="s">
        <v>6</v>
      </c>
      <c r="C197" s="3">
        <v>6</v>
      </c>
      <c r="D197" s="3">
        <v>1</v>
      </c>
      <c r="E197" s="3">
        <f t="shared" si="6"/>
        <v>6</v>
      </c>
      <c r="F197" s="3" t="s">
        <v>140</v>
      </c>
      <c r="G197">
        <f>VLOOKUP(B197,'Grade Formula'!$A$1:$F$7,2,FALSE)*C197*D197/1000</f>
        <v>1.56</v>
      </c>
      <c r="H197">
        <f>VLOOKUP(B197,'Grade Formula'!$A$1:$F$7,4,FALSE)*C197*D197/1000</f>
        <v>4.3019999999999996</v>
      </c>
      <c r="I197">
        <f>VLOOKUP(B197,'Grade Formula'!$A$1:$F$7,6,FALSE)*C197*D197/1000</f>
        <v>2.88</v>
      </c>
      <c r="J197">
        <f>VLOOKUP(B197,'Grade Formula'!$A$1:$F$7,5,FALSE)*C197*D197/1000</f>
        <v>3.78</v>
      </c>
      <c r="K197">
        <f>VLOOKUP(B197,'Grade Formula'!$A$1:$F$7,3,FALSE)*C197*D197/1000</f>
        <v>0</v>
      </c>
      <c r="L197">
        <f t="shared" si="7"/>
        <v>16</v>
      </c>
    </row>
    <row r="198" spans="1:12" x14ac:dyDescent="0.3">
      <c r="A198" s="1">
        <v>45761</v>
      </c>
      <c r="B198" t="s">
        <v>3</v>
      </c>
      <c r="C198" s="3">
        <v>7</v>
      </c>
      <c r="D198" s="3">
        <v>3</v>
      </c>
      <c r="E198" s="3">
        <f t="shared" si="6"/>
        <v>21</v>
      </c>
      <c r="F198" s="3" t="s">
        <v>154</v>
      </c>
      <c r="G198">
        <f>VLOOKUP(B198,'Grade Formula'!$A$1:$F$7,2,FALSE)*C198*D198/1000</f>
        <v>4.83</v>
      </c>
      <c r="H198">
        <f>VLOOKUP(B198,'Grade Formula'!$A$1:$F$7,4,FALSE)*C198*D198/1000</f>
        <v>14.112</v>
      </c>
      <c r="I198">
        <f>VLOOKUP(B198,'Grade Formula'!$A$1:$F$7,6,FALSE)*C198*D198/1000</f>
        <v>9.8699999999999992</v>
      </c>
      <c r="J198">
        <f>VLOOKUP(B198,'Grade Formula'!$A$1:$F$7,5,FALSE)*C198*D198/1000</f>
        <v>12.494999999999999</v>
      </c>
      <c r="K198">
        <f>VLOOKUP(B198,'Grade Formula'!$A$1:$F$7,3,FALSE)*C198*D198/1000</f>
        <v>2.1</v>
      </c>
      <c r="L198">
        <f t="shared" si="7"/>
        <v>16</v>
      </c>
    </row>
    <row r="199" spans="1:12" x14ac:dyDescent="0.3">
      <c r="A199" s="1">
        <v>45761</v>
      </c>
      <c r="B199" t="s">
        <v>5</v>
      </c>
      <c r="C199" s="3">
        <v>6</v>
      </c>
      <c r="D199" s="3">
        <v>1</v>
      </c>
      <c r="E199" s="3">
        <f t="shared" si="6"/>
        <v>6</v>
      </c>
      <c r="F199" s="3" t="s">
        <v>104</v>
      </c>
      <c r="G199">
        <f>VLOOKUP(B199,'Grade Formula'!$A$1:$F$7,2,FALSE)*C199*D199/1000</f>
        <v>1.92</v>
      </c>
      <c r="H199">
        <f>VLOOKUP(B199,'Grade Formula'!$A$1:$F$7,4,FALSE)*C199*D199/1000</f>
        <v>3.7679999999999998</v>
      </c>
      <c r="I199">
        <f>VLOOKUP(B199,'Grade Formula'!$A$1:$F$7,6,FALSE)*C199*D199/1000</f>
        <v>2.82</v>
      </c>
      <c r="J199">
        <f>VLOOKUP(B199,'Grade Formula'!$A$1:$F$7,5,FALSE)*C199*D199/1000</f>
        <v>3.6</v>
      </c>
      <c r="K199">
        <f>VLOOKUP(B199,'Grade Formula'!$A$1:$F$7,3,FALSE)*C199*D199/1000</f>
        <v>0.48</v>
      </c>
      <c r="L199">
        <f t="shared" si="7"/>
        <v>16</v>
      </c>
    </row>
    <row r="200" spans="1:12" x14ac:dyDescent="0.3">
      <c r="A200" s="1">
        <v>45761</v>
      </c>
      <c r="B200" t="s">
        <v>3</v>
      </c>
      <c r="C200" s="3">
        <v>5</v>
      </c>
      <c r="D200" s="3">
        <v>1</v>
      </c>
      <c r="E200" s="3">
        <f t="shared" si="6"/>
        <v>5</v>
      </c>
      <c r="F200" s="3" t="s">
        <v>154</v>
      </c>
      <c r="G200">
        <f>VLOOKUP(B200,'Grade Formula'!$A$1:$F$7,2,FALSE)*C200*D200/1000</f>
        <v>1.1499999999999999</v>
      </c>
      <c r="H200">
        <f>VLOOKUP(B200,'Grade Formula'!$A$1:$F$7,4,FALSE)*C200*D200/1000</f>
        <v>3.36</v>
      </c>
      <c r="I200">
        <f>VLOOKUP(B200,'Grade Formula'!$A$1:$F$7,6,FALSE)*C200*D200/1000</f>
        <v>2.35</v>
      </c>
      <c r="J200">
        <f>VLOOKUP(B200,'Grade Formula'!$A$1:$F$7,5,FALSE)*C200*D200/1000</f>
        <v>2.9750000000000001</v>
      </c>
      <c r="K200">
        <f>VLOOKUP(B200,'Grade Formula'!$A$1:$F$7,3,FALSE)*C200*D200/1000</f>
        <v>0.5</v>
      </c>
      <c r="L200">
        <f t="shared" si="7"/>
        <v>16</v>
      </c>
    </row>
    <row r="201" spans="1:12" x14ac:dyDescent="0.3">
      <c r="A201" s="1">
        <v>45761</v>
      </c>
      <c r="B201" t="s">
        <v>7</v>
      </c>
      <c r="C201" s="3">
        <v>4</v>
      </c>
      <c r="D201" s="3">
        <v>1</v>
      </c>
      <c r="E201" s="3">
        <f t="shared" si="6"/>
        <v>4</v>
      </c>
      <c r="F201" s="3" t="s">
        <v>137</v>
      </c>
      <c r="G201">
        <f>VLOOKUP(B201,'Grade Formula'!$A$1:$F$7,2,FALSE)*C201*D201/1000</f>
        <v>0.84</v>
      </c>
      <c r="H201">
        <f>VLOOKUP(B201,'Grade Formula'!$A$1:$F$7,4,FALSE)*C201*D201/1000</f>
        <v>3.0920000000000001</v>
      </c>
      <c r="I201">
        <f>VLOOKUP(B201,'Grade Formula'!$A$1:$F$7,6,FALSE)*C201*D201/1000</f>
        <v>1.96</v>
      </c>
      <c r="J201">
        <f>VLOOKUP(B201,'Grade Formula'!$A$1:$F$7,5,FALSE)*C201*D201/1000</f>
        <v>2.64</v>
      </c>
      <c r="K201">
        <f>VLOOKUP(B201,'Grade Formula'!$A$1:$F$7,3,FALSE)*C201*D201/1000</f>
        <v>0</v>
      </c>
      <c r="L201">
        <f t="shared" si="7"/>
        <v>16</v>
      </c>
    </row>
    <row r="202" spans="1:12" x14ac:dyDescent="0.3">
      <c r="A202" s="1">
        <v>45761</v>
      </c>
      <c r="B202" t="s">
        <v>3</v>
      </c>
      <c r="C202" s="3">
        <v>7</v>
      </c>
      <c r="D202" s="3">
        <v>5</v>
      </c>
      <c r="E202" s="3">
        <f t="shared" si="6"/>
        <v>35</v>
      </c>
      <c r="F202" s="3" t="s">
        <v>157</v>
      </c>
      <c r="G202">
        <f>VLOOKUP(B202,'Grade Formula'!$A$1:$F$7,2,FALSE)*C202*D202/1000</f>
        <v>8.0500000000000007</v>
      </c>
      <c r="H202">
        <f>VLOOKUP(B202,'Grade Formula'!$A$1:$F$7,4,FALSE)*C202*D202/1000</f>
        <v>23.52</v>
      </c>
      <c r="I202">
        <f>VLOOKUP(B202,'Grade Formula'!$A$1:$F$7,6,FALSE)*C202*D202/1000</f>
        <v>16.45</v>
      </c>
      <c r="J202">
        <f>VLOOKUP(B202,'Grade Formula'!$A$1:$F$7,5,FALSE)*C202*D202/1000</f>
        <v>20.824999999999999</v>
      </c>
      <c r="K202">
        <f>VLOOKUP(B202,'Grade Formula'!$A$1:$F$7,3,FALSE)*C202*D202/1000</f>
        <v>3.5</v>
      </c>
      <c r="L202">
        <f t="shared" si="7"/>
        <v>16</v>
      </c>
    </row>
    <row r="203" spans="1:12" x14ac:dyDescent="0.3">
      <c r="A203" s="1">
        <v>45761</v>
      </c>
      <c r="B203" t="s">
        <v>3</v>
      </c>
      <c r="C203" s="3">
        <v>6</v>
      </c>
      <c r="D203" s="3">
        <v>2</v>
      </c>
      <c r="E203" s="3">
        <f t="shared" si="6"/>
        <v>12</v>
      </c>
      <c r="F203" s="3" t="s">
        <v>157</v>
      </c>
      <c r="G203">
        <f>VLOOKUP(B203,'Grade Formula'!$A$1:$F$7,2,FALSE)*C203*D203/1000</f>
        <v>2.76</v>
      </c>
      <c r="H203">
        <f>VLOOKUP(B203,'Grade Formula'!$A$1:$F$7,4,FALSE)*C203*D203/1000</f>
        <v>8.0640000000000001</v>
      </c>
      <c r="I203">
        <f>VLOOKUP(B203,'Grade Formula'!$A$1:$F$7,6,FALSE)*C203*D203/1000</f>
        <v>5.64</v>
      </c>
      <c r="J203">
        <f>VLOOKUP(B203,'Grade Formula'!$A$1:$F$7,5,FALSE)*C203*D203/1000</f>
        <v>7.14</v>
      </c>
      <c r="K203">
        <f>VLOOKUP(B203,'Grade Formula'!$A$1:$F$7,3,FALSE)*C203*D203/1000</f>
        <v>1.2</v>
      </c>
      <c r="L203">
        <f t="shared" si="7"/>
        <v>16</v>
      </c>
    </row>
    <row r="204" spans="1:12" x14ac:dyDescent="0.3">
      <c r="A204" s="1">
        <v>45761</v>
      </c>
      <c r="B204" t="s">
        <v>5</v>
      </c>
      <c r="C204" s="3">
        <v>4</v>
      </c>
      <c r="D204" s="3">
        <v>1</v>
      </c>
      <c r="E204" s="3">
        <f t="shared" si="6"/>
        <v>4</v>
      </c>
      <c r="F204" s="3" t="s">
        <v>104</v>
      </c>
      <c r="G204">
        <f>VLOOKUP(B204,'Grade Formula'!$A$1:$F$7,2,FALSE)*C204*D204/1000</f>
        <v>1.28</v>
      </c>
      <c r="H204">
        <f>VLOOKUP(B204,'Grade Formula'!$A$1:$F$7,4,FALSE)*C204*D204/1000</f>
        <v>2.512</v>
      </c>
      <c r="I204">
        <f>VLOOKUP(B204,'Grade Formula'!$A$1:$F$7,6,FALSE)*C204*D204/1000</f>
        <v>1.88</v>
      </c>
      <c r="J204">
        <f>VLOOKUP(B204,'Grade Formula'!$A$1:$F$7,5,FALSE)*C204*D204/1000</f>
        <v>2.4</v>
      </c>
      <c r="K204">
        <f>VLOOKUP(B204,'Grade Formula'!$A$1:$F$7,3,FALSE)*C204*D204/1000</f>
        <v>0.32</v>
      </c>
      <c r="L204">
        <f t="shared" si="7"/>
        <v>16</v>
      </c>
    </row>
    <row r="205" spans="1:12" x14ac:dyDescent="0.3">
      <c r="A205" s="1">
        <v>45764</v>
      </c>
      <c r="B205" t="s">
        <v>5</v>
      </c>
      <c r="C205" s="3">
        <v>8</v>
      </c>
      <c r="D205" s="3">
        <v>2</v>
      </c>
      <c r="E205" s="3">
        <f t="shared" si="6"/>
        <v>16</v>
      </c>
      <c r="F205" s="3" t="s">
        <v>92</v>
      </c>
      <c r="G205">
        <f>VLOOKUP(B205,'Grade Formula'!$A$1:$F$7,2,FALSE)*C205*D205/1000</f>
        <v>5.12</v>
      </c>
      <c r="H205">
        <f>VLOOKUP(B205,'Grade Formula'!$A$1:$F$7,4,FALSE)*C205*D205/1000</f>
        <v>10.048</v>
      </c>
      <c r="I205">
        <f>VLOOKUP(B205,'Grade Formula'!$A$1:$F$7,6,FALSE)*C205*D205/1000</f>
        <v>7.52</v>
      </c>
      <c r="J205">
        <f>VLOOKUP(B205,'Grade Formula'!$A$1:$F$7,5,FALSE)*C205*D205/1000</f>
        <v>9.6</v>
      </c>
      <c r="K205">
        <f>VLOOKUP(B205,'Grade Formula'!$A$1:$F$7,3,FALSE)*C205*D205/1000</f>
        <v>1.28</v>
      </c>
      <c r="L205">
        <f t="shared" si="7"/>
        <v>16</v>
      </c>
    </row>
    <row r="206" spans="1:12" x14ac:dyDescent="0.3">
      <c r="A206" s="1">
        <v>45764</v>
      </c>
      <c r="B206" t="s">
        <v>5</v>
      </c>
      <c r="C206" s="3">
        <v>4.5</v>
      </c>
      <c r="D206" s="3">
        <v>1</v>
      </c>
      <c r="E206" s="3">
        <f t="shared" si="6"/>
        <v>4.5</v>
      </c>
      <c r="F206" s="3" t="s">
        <v>107</v>
      </c>
      <c r="G206">
        <f>VLOOKUP(B206,'Grade Formula'!$A$1:$F$7,2,FALSE)*C206*D206/1000</f>
        <v>1.44</v>
      </c>
      <c r="H206">
        <f>VLOOKUP(B206,'Grade Formula'!$A$1:$F$7,4,FALSE)*C206*D206/1000</f>
        <v>2.8260000000000001</v>
      </c>
      <c r="I206">
        <f>VLOOKUP(B206,'Grade Formula'!$A$1:$F$7,6,FALSE)*C206*D206/1000</f>
        <v>2.1150000000000002</v>
      </c>
      <c r="J206">
        <f>VLOOKUP(B206,'Grade Formula'!$A$1:$F$7,5,FALSE)*C206*D206/1000</f>
        <v>2.7</v>
      </c>
      <c r="K206">
        <f>VLOOKUP(B206,'Grade Formula'!$A$1:$F$7,3,FALSE)*C206*D206/1000</f>
        <v>0.36</v>
      </c>
      <c r="L206">
        <f t="shared" si="7"/>
        <v>16</v>
      </c>
    </row>
    <row r="207" spans="1:12" x14ac:dyDescent="0.3">
      <c r="A207" s="1">
        <v>45765</v>
      </c>
      <c r="B207" t="s">
        <v>4</v>
      </c>
      <c r="C207" s="3">
        <v>7</v>
      </c>
      <c r="D207" s="3">
        <v>2</v>
      </c>
      <c r="E207" s="3">
        <f t="shared" si="6"/>
        <v>14</v>
      </c>
      <c r="F207" s="3" t="s">
        <v>137</v>
      </c>
      <c r="G207">
        <f>VLOOKUP(B207,'Grade Formula'!$A$1:$F$7,2,FALSE)*C207*D207/1000</f>
        <v>3.5</v>
      </c>
      <c r="H207">
        <f>VLOOKUP(B207,'Grade Formula'!$A$1:$F$7,4,FALSE)*C207*D207/1000</f>
        <v>11.423999999999999</v>
      </c>
      <c r="I207">
        <f>VLOOKUP(B207,'Grade Formula'!$A$1:$F$7,6,FALSE)*C207*D207/1000</f>
        <v>6.6920000000000002</v>
      </c>
      <c r="J207">
        <f>VLOOKUP(B207,'Grade Formula'!$A$1:$F$7,5,FALSE)*C207*D207/1000</f>
        <v>8.2040000000000006</v>
      </c>
      <c r="K207">
        <f>VLOOKUP(B207,'Grade Formula'!$A$1:$F$7,3,FALSE)*C207*D207/1000</f>
        <v>1.54</v>
      </c>
      <c r="L207">
        <f t="shared" si="7"/>
        <v>16</v>
      </c>
    </row>
    <row r="208" spans="1:12" x14ac:dyDescent="0.3">
      <c r="A208" s="1">
        <v>45765</v>
      </c>
      <c r="B208" t="s">
        <v>4</v>
      </c>
      <c r="C208" s="3">
        <v>6</v>
      </c>
      <c r="D208" s="3">
        <v>1</v>
      </c>
      <c r="E208" s="3">
        <f t="shared" si="6"/>
        <v>6</v>
      </c>
      <c r="F208" s="3" t="s">
        <v>137</v>
      </c>
      <c r="G208">
        <f>VLOOKUP(B208,'Grade Formula'!$A$1:$F$7,2,FALSE)*C208*D208/1000</f>
        <v>1.5</v>
      </c>
      <c r="H208">
        <f>VLOOKUP(B208,'Grade Formula'!$A$1:$F$7,4,FALSE)*C208*D208/1000</f>
        <v>4.8959999999999999</v>
      </c>
      <c r="I208">
        <f>VLOOKUP(B208,'Grade Formula'!$A$1:$F$7,6,FALSE)*C208*D208/1000</f>
        <v>2.8679999999999999</v>
      </c>
      <c r="J208">
        <f>VLOOKUP(B208,'Grade Formula'!$A$1:$F$7,5,FALSE)*C208*D208/1000</f>
        <v>3.516</v>
      </c>
      <c r="K208">
        <f>VLOOKUP(B208,'Grade Formula'!$A$1:$F$7,3,FALSE)*C208*D208/1000</f>
        <v>0.66</v>
      </c>
      <c r="L208">
        <f t="shared" si="7"/>
        <v>16</v>
      </c>
    </row>
    <row r="209" spans="1:12" x14ac:dyDescent="0.3">
      <c r="A209" s="1">
        <v>45766</v>
      </c>
      <c r="B209" t="s">
        <v>3</v>
      </c>
      <c r="C209" s="3">
        <v>7</v>
      </c>
      <c r="D209" s="3">
        <v>11</v>
      </c>
      <c r="E209" s="3">
        <f t="shared" si="6"/>
        <v>77</v>
      </c>
      <c r="F209" s="3" t="s">
        <v>121</v>
      </c>
      <c r="G209">
        <f>VLOOKUP(B209,'Grade Formula'!$A$1:$F$7,2,FALSE)*C209*D209/1000</f>
        <v>17.71</v>
      </c>
      <c r="H209">
        <f>VLOOKUP(B209,'Grade Formula'!$A$1:$F$7,4,FALSE)*C209*D209/1000</f>
        <v>51.744</v>
      </c>
      <c r="I209">
        <f>VLOOKUP(B209,'Grade Formula'!$A$1:$F$7,6,FALSE)*C209*D209/1000</f>
        <v>36.19</v>
      </c>
      <c r="J209">
        <f>VLOOKUP(B209,'Grade Formula'!$A$1:$F$7,5,FALSE)*C209*D209/1000</f>
        <v>45.814999999999998</v>
      </c>
      <c r="K209">
        <f>VLOOKUP(B209,'Grade Formula'!$A$1:$F$7,3,FALSE)*C209*D209/1000</f>
        <v>7.7</v>
      </c>
      <c r="L209">
        <f t="shared" si="7"/>
        <v>16</v>
      </c>
    </row>
    <row r="210" spans="1:12" x14ac:dyDescent="0.3">
      <c r="A210" s="1">
        <v>45766</v>
      </c>
      <c r="B210" t="s">
        <v>4</v>
      </c>
      <c r="C210" s="3">
        <v>5.5</v>
      </c>
      <c r="D210" s="3">
        <v>1</v>
      </c>
      <c r="E210" s="3">
        <f t="shared" si="6"/>
        <v>5.5</v>
      </c>
      <c r="F210" s="3" t="s">
        <v>137</v>
      </c>
      <c r="G210">
        <f>VLOOKUP(B210,'Grade Formula'!$A$1:$F$7,2,FALSE)*C210*D210/1000</f>
        <v>1.375</v>
      </c>
      <c r="H210">
        <f>VLOOKUP(B210,'Grade Formula'!$A$1:$F$7,4,FALSE)*C210*D210/1000</f>
        <v>4.4880000000000004</v>
      </c>
      <c r="I210">
        <f>VLOOKUP(B210,'Grade Formula'!$A$1:$F$7,6,FALSE)*C210*D210/1000</f>
        <v>2.629</v>
      </c>
      <c r="J210">
        <f>VLOOKUP(B210,'Grade Formula'!$A$1:$F$7,5,FALSE)*C210*D210/1000</f>
        <v>3.2229999999999999</v>
      </c>
      <c r="K210">
        <f>VLOOKUP(B210,'Grade Formula'!$A$1:$F$7,3,FALSE)*C210*D210/1000</f>
        <v>0.60499999999999998</v>
      </c>
      <c r="L210">
        <f t="shared" si="7"/>
        <v>16</v>
      </c>
    </row>
    <row r="211" spans="1:12" x14ac:dyDescent="0.3">
      <c r="A211" s="1">
        <v>45766</v>
      </c>
      <c r="B211" t="s">
        <v>4</v>
      </c>
      <c r="C211" s="3">
        <v>7</v>
      </c>
      <c r="D211" s="3">
        <v>3</v>
      </c>
      <c r="E211" s="3">
        <f t="shared" si="6"/>
        <v>21</v>
      </c>
      <c r="F211" s="3" t="s">
        <v>138</v>
      </c>
      <c r="G211">
        <f>VLOOKUP(B211,'Grade Formula'!$A$1:$F$7,2,FALSE)*C211*D211/1000</f>
        <v>5.25</v>
      </c>
      <c r="H211">
        <f>VLOOKUP(B211,'Grade Formula'!$A$1:$F$7,4,FALSE)*C211*D211/1000</f>
        <v>17.135999999999999</v>
      </c>
      <c r="I211">
        <f>VLOOKUP(B211,'Grade Formula'!$A$1:$F$7,6,FALSE)*C211*D211/1000</f>
        <v>10.038</v>
      </c>
      <c r="J211">
        <f>VLOOKUP(B211,'Grade Formula'!$A$1:$F$7,5,FALSE)*C211*D211/1000</f>
        <v>12.305999999999999</v>
      </c>
      <c r="K211">
        <f>VLOOKUP(B211,'Grade Formula'!$A$1:$F$7,3,FALSE)*C211*D211/1000</f>
        <v>2.31</v>
      </c>
      <c r="L211">
        <f t="shared" si="7"/>
        <v>16</v>
      </c>
    </row>
    <row r="212" spans="1:12" x14ac:dyDescent="0.3">
      <c r="A212" s="1">
        <v>45766</v>
      </c>
      <c r="B212" t="s">
        <v>4</v>
      </c>
      <c r="C212" s="3">
        <v>7</v>
      </c>
      <c r="D212" s="3">
        <v>3</v>
      </c>
      <c r="E212" s="3">
        <f t="shared" si="6"/>
        <v>21</v>
      </c>
      <c r="F212" s="3" t="s">
        <v>140</v>
      </c>
      <c r="G212">
        <f>VLOOKUP(B212,'Grade Formula'!$A$1:$F$7,2,FALSE)*C212*D212/1000</f>
        <v>5.25</v>
      </c>
      <c r="H212">
        <f>VLOOKUP(B212,'Grade Formula'!$A$1:$F$7,4,FALSE)*C212*D212/1000</f>
        <v>17.135999999999999</v>
      </c>
      <c r="I212">
        <f>VLOOKUP(B212,'Grade Formula'!$A$1:$F$7,6,FALSE)*C212*D212/1000</f>
        <v>10.038</v>
      </c>
      <c r="J212">
        <f>VLOOKUP(B212,'Grade Formula'!$A$1:$F$7,5,FALSE)*C212*D212/1000</f>
        <v>12.305999999999999</v>
      </c>
      <c r="K212">
        <f>VLOOKUP(B212,'Grade Formula'!$A$1:$F$7,3,FALSE)*C212*D212/1000</f>
        <v>2.31</v>
      </c>
      <c r="L212">
        <f t="shared" si="7"/>
        <v>16</v>
      </c>
    </row>
    <row r="213" spans="1:12" x14ac:dyDescent="0.3">
      <c r="A213" s="1">
        <v>45767</v>
      </c>
      <c r="B213" t="s">
        <v>3</v>
      </c>
      <c r="C213" s="3">
        <v>5.5</v>
      </c>
      <c r="D213" s="3">
        <v>2</v>
      </c>
      <c r="E213" s="3">
        <f t="shared" si="6"/>
        <v>11</v>
      </c>
      <c r="F213" s="3" t="s">
        <v>155</v>
      </c>
      <c r="G213">
        <f>VLOOKUP(B213,'Grade Formula'!$A$1:$F$7,2,FALSE)*C213*D213/1000</f>
        <v>2.5299999999999998</v>
      </c>
      <c r="H213">
        <f>VLOOKUP(B213,'Grade Formula'!$A$1:$F$7,4,FALSE)*C213*D213/1000</f>
        <v>7.3920000000000003</v>
      </c>
      <c r="I213">
        <f>VLOOKUP(B213,'Grade Formula'!$A$1:$F$7,6,FALSE)*C213*D213/1000</f>
        <v>5.17</v>
      </c>
      <c r="J213">
        <f>VLOOKUP(B213,'Grade Formula'!$A$1:$F$7,5,FALSE)*C213*D213/1000</f>
        <v>6.5449999999999999</v>
      </c>
      <c r="K213">
        <f>VLOOKUP(B213,'Grade Formula'!$A$1:$F$7,3,FALSE)*C213*D213/1000</f>
        <v>1.1000000000000001</v>
      </c>
      <c r="L213">
        <f t="shared" si="7"/>
        <v>17</v>
      </c>
    </row>
    <row r="214" spans="1:12" x14ac:dyDescent="0.3">
      <c r="A214" s="1">
        <v>45767</v>
      </c>
      <c r="B214" t="s">
        <v>4</v>
      </c>
      <c r="C214" s="3">
        <v>4.5</v>
      </c>
      <c r="D214" s="3">
        <v>1</v>
      </c>
      <c r="E214" s="3">
        <f t="shared" si="6"/>
        <v>4.5</v>
      </c>
      <c r="F214" s="3" t="s">
        <v>137</v>
      </c>
      <c r="G214">
        <f>VLOOKUP(B214,'Grade Formula'!$A$1:$F$7,2,FALSE)*C214*D214/1000</f>
        <v>1.125</v>
      </c>
      <c r="H214">
        <f>VLOOKUP(B214,'Grade Formula'!$A$1:$F$7,4,FALSE)*C214*D214/1000</f>
        <v>3.6720000000000002</v>
      </c>
      <c r="I214">
        <f>VLOOKUP(B214,'Grade Formula'!$A$1:$F$7,6,FALSE)*C214*D214/1000</f>
        <v>2.1509999999999998</v>
      </c>
      <c r="J214">
        <f>VLOOKUP(B214,'Grade Formula'!$A$1:$F$7,5,FALSE)*C214*D214/1000</f>
        <v>2.637</v>
      </c>
      <c r="K214">
        <f>VLOOKUP(B214,'Grade Formula'!$A$1:$F$7,3,FALSE)*C214*D214/1000</f>
        <v>0.495</v>
      </c>
      <c r="L214">
        <f t="shared" si="7"/>
        <v>17</v>
      </c>
    </row>
    <row r="215" spans="1:12" x14ac:dyDescent="0.3">
      <c r="A215" s="1">
        <v>45767</v>
      </c>
      <c r="B215" t="s">
        <v>4</v>
      </c>
      <c r="C215" s="3">
        <v>3</v>
      </c>
      <c r="D215" s="3">
        <v>1</v>
      </c>
      <c r="E215" s="3">
        <f t="shared" si="6"/>
        <v>3</v>
      </c>
      <c r="F215" s="3" t="s">
        <v>137</v>
      </c>
      <c r="G215">
        <f>VLOOKUP(B215,'Grade Formula'!$A$1:$F$7,2,FALSE)*C215*D215/1000</f>
        <v>0.75</v>
      </c>
      <c r="H215">
        <f>VLOOKUP(B215,'Grade Formula'!$A$1:$F$7,4,FALSE)*C215*D215/1000</f>
        <v>2.448</v>
      </c>
      <c r="I215">
        <f>VLOOKUP(B215,'Grade Formula'!$A$1:$F$7,6,FALSE)*C215*D215/1000</f>
        <v>1.4339999999999999</v>
      </c>
      <c r="J215">
        <f>VLOOKUP(B215,'Grade Formula'!$A$1:$F$7,5,FALSE)*C215*D215/1000</f>
        <v>1.758</v>
      </c>
      <c r="K215">
        <f>VLOOKUP(B215,'Grade Formula'!$A$1:$F$7,3,FALSE)*C215*D215/1000</f>
        <v>0.33</v>
      </c>
      <c r="L215">
        <f t="shared" si="7"/>
        <v>17</v>
      </c>
    </row>
    <row r="216" spans="1:12" x14ac:dyDescent="0.3">
      <c r="A216" s="1">
        <v>45767</v>
      </c>
      <c r="B216" t="s">
        <v>4</v>
      </c>
      <c r="C216" s="3">
        <v>5</v>
      </c>
      <c r="D216" s="3">
        <v>2</v>
      </c>
      <c r="E216" s="3">
        <f t="shared" si="6"/>
        <v>10</v>
      </c>
      <c r="F216" s="3" t="s">
        <v>140</v>
      </c>
      <c r="G216">
        <f>VLOOKUP(B216,'Grade Formula'!$A$1:$F$7,2,FALSE)*C216*D216/1000</f>
        <v>2.5</v>
      </c>
      <c r="H216">
        <f>VLOOKUP(B216,'Grade Formula'!$A$1:$F$7,4,FALSE)*C216*D216/1000</f>
        <v>8.16</v>
      </c>
      <c r="I216">
        <f>VLOOKUP(B216,'Grade Formula'!$A$1:$F$7,6,FALSE)*C216*D216/1000</f>
        <v>4.78</v>
      </c>
      <c r="J216">
        <f>VLOOKUP(B216,'Grade Formula'!$A$1:$F$7,5,FALSE)*C216*D216/1000</f>
        <v>5.86</v>
      </c>
      <c r="K216">
        <f>VLOOKUP(B216,'Grade Formula'!$A$1:$F$7,3,FALSE)*C216*D216/1000</f>
        <v>1.1000000000000001</v>
      </c>
      <c r="L216">
        <f t="shared" si="7"/>
        <v>17</v>
      </c>
    </row>
    <row r="217" spans="1:12" x14ac:dyDescent="0.3">
      <c r="A217" s="1">
        <v>45767</v>
      </c>
      <c r="B217" t="s">
        <v>7</v>
      </c>
      <c r="C217" s="3">
        <v>3</v>
      </c>
      <c r="D217" s="3">
        <v>1</v>
      </c>
      <c r="E217" s="3">
        <f t="shared" si="6"/>
        <v>3</v>
      </c>
      <c r="F217" s="3" t="s">
        <v>140</v>
      </c>
      <c r="G217">
        <f>VLOOKUP(B217,'Grade Formula'!$A$1:$F$7,2,FALSE)*C217*D217/1000</f>
        <v>0.63</v>
      </c>
      <c r="H217">
        <f>VLOOKUP(B217,'Grade Formula'!$A$1:$F$7,4,FALSE)*C217*D217/1000</f>
        <v>2.319</v>
      </c>
      <c r="I217">
        <f>VLOOKUP(B217,'Grade Formula'!$A$1:$F$7,6,FALSE)*C217*D217/1000</f>
        <v>1.47</v>
      </c>
      <c r="J217">
        <f>VLOOKUP(B217,'Grade Formula'!$A$1:$F$7,5,FALSE)*C217*D217/1000</f>
        <v>1.98</v>
      </c>
      <c r="K217">
        <f>VLOOKUP(B217,'Grade Formula'!$A$1:$F$7,3,FALSE)*C217*D217/1000</f>
        <v>0</v>
      </c>
      <c r="L217">
        <f t="shared" si="7"/>
        <v>17</v>
      </c>
    </row>
    <row r="218" spans="1:12" x14ac:dyDescent="0.3">
      <c r="A218" s="1">
        <v>45767</v>
      </c>
      <c r="B218" t="s">
        <v>3</v>
      </c>
      <c r="C218" s="3">
        <v>7</v>
      </c>
      <c r="D218" s="3">
        <v>2</v>
      </c>
      <c r="E218" s="3">
        <f t="shared" si="6"/>
        <v>14</v>
      </c>
      <c r="F218" s="3" t="s">
        <v>125</v>
      </c>
      <c r="G218">
        <f>VLOOKUP(B218,'Grade Formula'!$A$1:$F$7,2,FALSE)*C218*D218/1000</f>
        <v>3.22</v>
      </c>
      <c r="H218">
        <f>VLOOKUP(B218,'Grade Formula'!$A$1:$F$7,4,FALSE)*C218*D218/1000</f>
        <v>9.4079999999999995</v>
      </c>
      <c r="I218">
        <f>VLOOKUP(B218,'Grade Formula'!$A$1:$F$7,6,FALSE)*C218*D218/1000</f>
        <v>6.58</v>
      </c>
      <c r="J218">
        <f>VLOOKUP(B218,'Grade Formula'!$A$1:$F$7,5,FALSE)*C218*D218/1000</f>
        <v>8.33</v>
      </c>
      <c r="K218">
        <f>VLOOKUP(B218,'Grade Formula'!$A$1:$F$7,3,FALSE)*C218*D218/1000</f>
        <v>1.4</v>
      </c>
      <c r="L218">
        <f t="shared" si="7"/>
        <v>17</v>
      </c>
    </row>
    <row r="219" spans="1:12" x14ac:dyDescent="0.3">
      <c r="A219" s="1">
        <v>45769</v>
      </c>
      <c r="B219" t="s">
        <v>3</v>
      </c>
      <c r="C219" s="3">
        <v>7</v>
      </c>
      <c r="D219" s="3">
        <v>4</v>
      </c>
      <c r="E219" s="3">
        <f t="shared" si="6"/>
        <v>28</v>
      </c>
      <c r="F219" s="3" t="s">
        <v>141</v>
      </c>
      <c r="G219">
        <f>VLOOKUP(B219,'Grade Formula'!$A$1:$F$7,2,FALSE)*C219*D219/1000</f>
        <v>6.44</v>
      </c>
      <c r="H219">
        <f>VLOOKUP(B219,'Grade Formula'!$A$1:$F$7,4,FALSE)*C219*D219/1000</f>
        <v>18.815999999999999</v>
      </c>
      <c r="I219">
        <f>VLOOKUP(B219,'Grade Formula'!$A$1:$F$7,6,FALSE)*C219*D219/1000</f>
        <v>13.16</v>
      </c>
      <c r="J219">
        <f>VLOOKUP(B219,'Grade Formula'!$A$1:$F$7,5,FALSE)*C219*D219/1000</f>
        <v>16.66</v>
      </c>
      <c r="K219">
        <f>VLOOKUP(B219,'Grade Formula'!$A$1:$F$7,3,FALSE)*C219*D219/1000</f>
        <v>2.8</v>
      </c>
      <c r="L219">
        <f t="shared" si="7"/>
        <v>17</v>
      </c>
    </row>
    <row r="220" spans="1:12" x14ac:dyDescent="0.3">
      <c r="A220" s="1">
        <v>45769</v>
      </c>
      <c r="B220" t="s">
        <v>3</v>
      </c>
      <c r="C220" s="3">
        <v>7</v>
      </c>
      <c r="D220" s="3">
        <v>1</v>
      </c>
      <c r="E220" s="3">
        <f t="shared" si="6"/>
        <v>7</v>
      </c>
      <c r="F220" s="3" t="s">
        <v>141</v>
      </c>
      <c r="G220">
        <f>VLOOKUP(B220,'Grade Formula'!$A$1:$F$7,2,FALSE)*C220*D220/1000</f>
        <v>1.61</v>
      </c>
      <c r="H220">
        <f>VLOOKUP(B220,'Grade Formula'!$A$1:$F$7,4,FALSE)*C220*D220/1000</f>
        <v>4.7039999999999997</v>
      </c>
      <c r="I220">
        <f>VLOOKUP(B220,'Grade Formula'!$A$1:$F$7,6,FALSE)*C220*D220/1000</f>
        <v>3.29</v>
      </c>
      <c r="J220">
        <f>VLOOKUP(B220,'Grade Formula'!$A$1:$F$7,5,FALSE)*C220*D220/1000</f>
        <v>4.165</v>
      </c>
      <c r="K220">
        <f>VLOOKUP(B220,'Grade Formula'!$A$1:$F$7,3,FALSE)*C220*D220/1000</f>
        <v>0.7</v>
      </c>
      <c r="L220">
        <f t="shared" si="7"/>
        <v>17</v>
      </c>
    </row>
    <row r="221" spans="1:12" x14ac:dyDescent="0.3">
      <c r="A221" s="1">
        <v>45770</v>
      </c>
      <c r="B221" t="s">
        <v>3</v>
      </c>
      <c r="C221" s="3">
        <v>5</v>
      </c>
      <c r="D221" s="3">
        <v>1</v>
      </c>
      <c r="E221" s="3">
        <f t="shared" si="6"/>
        <v>5</v>
      </c>
      <c r="F221" s="3" t="s">
        <v>159</v>
      </c>
      <c r="G221">
        <f>VLOOKUP(B221,'Grade Formula'!$A$1:$F$7,2,FALSE)*C221*D221/1000</f>
        <v>1.1499999999999999</v>
      </c>
      <c r="H221">
        <f>VLOOKUP(B221,'Grade Formula'!$A$1:$F$7,4,FALSE)*C221*D221/1000</f>
        <v>3.36</v>
      </c>
      <c r="I221">
        <f>VLOOKUP(B221,'Grade Formula'!$A$1:$F$7,6,FALSE)*C221*D221/1000</f>
        <v>2.35</v>
      </c>
      <c r="J221">
        <f>VLOOKUP(B221,'Grade Formula'!$A$1:$F$7,5,FALSE)*C221*D221/1000</f>
        <v>2.9750000000000001</v>
      </c>
      <c r="K221">
        <f>VLOOKUP(B221,'Grade Formula'!$A$1:$F$7,3,FALSE)*C221*D221/1000</f>
        <v>0.5</v>
      </c>
      <c r="L221">
        <f t="shared" si="7"/>
        <v>17</v>
      </c>
    </row>
    <row r="222" spans="1:12" x14ac:dyDescent="0.3">
      <c r="A222" s="1">
        <v>45770</v>
      </c>
      <c r="B222" t="s">
        <v>4</v>
      </c>
      <c r="C222" s="3">
        <v>6</v>
      </c>
      <c r="D222" s="3">
        <v>2</v>
      </c>
      <c r="E222" s="3">
        <f t="shared" si="6"/>
        <v>12</v>
      </c>
      <c r="F222" s="3" t="s">
        <v>137</v>
      </c>
      <c r="G222">
        <f>VLOOKUP(B222,'Grade Formula'!$A$1:$F$7,2,FALSE)*C222*D222/1000</f>
        <v>3</v>
      </c>
      <c r="H222">
        <f>VLOOKUP(B222,'Grade Formula'!$A$1:$F$7,4,FALSE)*C222*D222/1000</f>
        <v>9.7919999999999998</v>
      </c>
      <c r="I222">
        <f>VLOOKUP(B222,'Grade Formula'!$A$1:$F$7,6,FALSE)*C222*D222/1000</f>
        <v>5.7359999999999998</v>
      </c>
      <c r="J222">
        <f>VLOOKUP(B222,'Grade Formula'!$A$1:$F$7,5,FALSE)*C222*D222/1000</f>
        <v>7.032</v>
      </c>
      <c r="K222">
        <f>VLOOKUP(B222,'Grade Formula'!$A$1:$F$7,3,FALSE)*C222*D222/1000</f>
        <v>1.32</v>
      </c>
      <c r="L222">
        <f t="shared" si="7"/>
        <v>17</v>
      </c>
    </row>
    <row r="223" spans="1:12" x14ac:dyDescent="0.3">
      <c r="A223" s="1">
        <v>45770</v>
      </c>
      <c r="B223" t="s">
        <v>4</v>
      </c>
      <c r="C223" s="3">
        <v>5</v>
      </c>
      <c r="D223" s="3">
        <v>1</v>
      </c>
      <c r="E223" s="3">
        <f t="shared" si="6"/>
        <v>5</v>
      </c>
      <c r="F223" s="3" t="s">
        <v>137</v>
      </c>
      <c r="G223">
        <f>VLOOKUP(B223,'Grade Formula'!$A$1:$F$7,2,FALSE)*C223*D223/1000</f>
        <v>1.25</v>
      </c>
      <c r="H223">
        <f>VLOOKUP(B223,'Grade Formula'!$A$1:$F$7,4,FALSE)*C223*D223/1000</f>
        <v>4.08</v>
      </c>
      <c r="I223">
        <f>VLOOKUP(B223,'Grade Formula'!$A$1:$F$7,6,FALSE)*C223*D223/1000</f>
        <v>2.39</v>
      </c>
      <c r="J223">
        <f>VLOOKUP(B223,'Grade Formula'!$A$1:$F$7,5,FALSE)*C223*D223/1000</f>
        <v>2.93</v>
      </c>
      <c r="K223">
        <f>VLOOKUP(B223,'Grade Formula'!$A$1:$F$7,3,FALSE)*C223*D223/1000</f>
        <v>0.55000000000000004</v>
      </c>
      <c r="L223">
        <f t="shared" si="7"/>
        <v>17</v>
      </c>
    </row>
    <row r="224" spans="1:12" x14ac:dyDescent="0.3">
      <c r="A224" s="1">
        <v>45770</v>
      </c>
      <c r="B224" t="s">
        <v>6</v>
      </c>
      <c r="C224" s="3">
        <v>5.5</v>
      </c>
      <c r="D224" s="3">
        <v>2</v>
      </c>
      <c r="E224" s="3">
        <f t="shared" si="6"/>
        <v>11</v>
      </c>
      <c r="F224" s="3" t="s">
        <v>140</v>
      </c>
      <c r="G224">
        <f>VLOOKUP(B224,'Grade Formula'!$A$1:$F$7,2,FALSE)*C224*D224/1000</f>
        <v>2.86</v>
      </c>
      <c r="H224">
        <f>VLOOKUP(B224,'Grade Formula'!$A$1:$F$7,4,FALSE)*C224*D224/1000</f>
        <v>7.8869999999999996</v>
      </c>
      <c r="I224">
        <f>VLOOKUP(B224,'Grade Formula'!$A$1:$F$7,6,FALSE)*C224*D224/1000</f>
        <v>5.28</v>
      </c>
      <c r="J224">
        <f>VLOOKUP(B224,'Grade Formula'!$A$1:$F$7,5,FALSE)*C224*D224/1000</f>
        <v>6.93</v>
      </c>
      <c r="K224">
        <f>VLOOKUP(B224,'Grade Formula'!$A$1:$F$7,3,FALSE)*C224*D224/1000</f>
        <v>0</v>
      </c>
      <c r="L224">
        <f t="shared" si="7"/>
        <v>17</v>
      </c>
    </row>
    <row r="225" spans="1:12" x14ac:dyDescent="0.3">
      <c r="A225" s="1">
        <v>45770</v>
      </c>
      <c r="B225" t="s">
        <v>5</v>
      </c>
      <c r="C225" s="3">
        <v>4</v>
      </c>
      <c r="D225" s="3">
        <v>1</v>
      </c>
      <c r="E225" s="3">
        <f t="shared" si="6"/>
        <v>4</v>
      </c>
      <c r="F225" s="3" t="s">
        <v>140</v>
      </c>
      <c r="G225">
        <f>VLOOKUP(B225,'Grade Formula'!$A$1:$F$7,2,FALSE)*C225*D225/1000</f>
        <v>1.28</v>
      </c>
      <c r="H225">
        <f>VLOOKUP(B225,'Grade Formula'!$A$1:$F$7,4,FALSE)*C225*D225/1000</f>
        <v>2.512</v>
      </c>
      <c r="I225">
        <f>VLOOKUP(B225,'Grade Formula'!$A$1:$F$7,6,FALSE)*C225*D225/1000</f>
        <v>1.88</v>
      </c>
      <c r="J225">
        <f>VLOOKUP(B225,'Grade Formula'!$A$1:$F$7,5,FALSE)*C225*D225/1000</f>
        <v>2.4</v>
      </c>
      <c r="K225">
        <f>VLOOKUP(B225,'Grade Formula'!$A$1:$F$7,3,FALSE)*C225*D225/1000</f>
        <v>0.32</v>
      </c>
      <c r="L225">
        <f t="shared" si="7"/>
        <v>17</v>
      </c>
    </row>
    <row r="226" spans="1:12" x14ac:dyDescent="0.3">
      <c r="A226" s="1">
        <v>45771</v>
      </c>
      <c r="B226" t="s">
        <v>7</v>
      </c>
      <c r="C226" s="3">
        <v>7</v>
      </c>
      <c r="D226" s="3">
        <v>1</v>
      </c>
      <c r="E226" s="3">
        <f t="shared" si="6"/>
        <v>7</v>
      </c>
      <c r="F226" s="3" t="s">
        <v>140</v>
      </c>
      <c r="G226">
        <f>VLOOKUP(B226,'Grade Formula'!$A$1:$F$7,2,FALSE)*C226*D226/1000</f>
        <v>1.47</v>
      </c>
      <c r="H226">
        <f>VLOOKUP(B226,'Grade Formula'!$A$1:$F$7,4,FALSE)*C226*D226/1000</f>
        <v>5.4109999999999996</v>
      </c>
      <c r="I226">
        <f>VLOOKUP(B226,'Grade Formula'!$A$1:$F$7,6,FALSE)*C226*D226/1000</f>
        <v>3.43</v>
      </c>
      <c r="J226">
        <f>VLOOKUP(B226,'Grade Formula'!$A$1:$F$7,5,FALSE)*C226*D226/1000</f>
        <v>4.62</v>
      </c>
      <c r="K226">
        <f>VLOOKUP(B226,'Grade Formula'!$A$1:$F$7,3,FALSE)*C226*D226/1000</f>
        <v>0</v>
      </c>
      <c r="L226">
        <f t="shared" si="7"/>
        <v>17</v>
      </c>
    </row>
    <row r="227" spans="1:12" x14ac:dyDescent="0.3">
      <c r="A227" s="1">
        <v>45771</v>
      </c>
      <c r="B227" t="s">
        <v>4</v>
      </c>
      <c r="C227" s="3">
        <v>7</v>
      </c>
      <c r="D227" s="3">
        <v>2</v>
      </c>
      <c r="E227" s="3">
        <f t="shared" si="6"/>
        <v>14</v>
      </c>
      <c r="F227" s="3" t="s">
        <v>140</v>
      </c>
      <c r="G227">
        <f>VLOOKUP(B227,'Grade Formula'!$A$1:$F$7,2,FALSE)*C227*D227/1000</f>
        <v>3.5</v>
      </c>
      <c r="H227">
        <f>VLOOKUP(B227,'Grade Formula'!$A$1:$F$7,4,FALSE)*C227*D227/1000</f>
        <v>11.423999999999999</v>
      </c>
      <c r="I227">
        <f>VLOOKUP(B227,'Grade Formula'!$A$1:$F$7,6,FALSE)*C227*D227/1000</f>
        <v>6.6920000000000002</v>
      </c>
      <c r="J227">
        <f>VLOOKUP(B227,'Grade Formula'!$A$1:$F$7,5,FALSE)*C227*D227/1000</f>
        <v>8.2040000000000006</v>
      </c>
      <c r="K227">
        <f>VLOOKUP(B227,'Grade Formula'!$A$1:$F$7,3,FALSE)*C227*D227/1000</f>
        <v>1.54</v>
      </c>
      <c r="L227">
        <f t="shared" si="7"/>
        <v>17</v>
      </c>
    </row>
    <row r="228" spans="1:12" x14ac:dyDescent="0.3">
      <c r="A228" s="1">
        <v>45771</v>
      </c>
      <c r="B228" t="s">
        <v>5</v>
      </c>
      <c r="C228" s="3">
        <v>5</v>
      </c>
      <c r="D228" s="3">
        <v>1</v>
      </c>
      <c r="E228" s="3">
        <f t="shared" si="6"/>
        <v>5</v>
      </c>
      <c r="F228" s="3" t="s">
        <v>142</v>
      </c>
      <c r="G228">
        <f>VLOOKUP(B228,'Grade Formula'!$A$1:$F$7,2,FALSE)*C228*D228/1000</f>
        <v>1.6</v>
      </c>
      <c r="H228">
        <f>VLOOKUP(B228,'Grade Formula'!$A$1:$F$7,4,FALSE)*C228*D228/1000</f>
        <v>3.14</v>
      </c>
      <c r="I228">
        <f>VLOOKUP(B228,'Grade Formula'!$A$1:$F$7,6,FALSE)*C228*D228/1000</f>
        <v>2.35</v>
      </c>
      <c r="J228">
        <f>VLOOKUP(B228,'Grade Formula'!$A$1:$F$7,5,FALSE)*C228*D228/1000</f>
        <v>3</v>
      </c>
      <c r="K228">
        <f>VLOOKUP(B228,'Grade Formula'!$A$1:$F$7,3,FALSE)*C228*D228/1000</f>
        <v>0.4</v>
      </c>
      <c r="L228">
        <f t="shared" si="7"/>
        <v>17</v>
      </c>
    </row>
    <row r="229" spans="1:12" x14ac:dyDescent="0.3">
      <c r="A229" s="1">
        <v>45771</v>
      </c>
      <c r="B229" t="s">
        <v>4</v>
      </c>
      <c r="C229" s="3">
        <v>5</v>
      </c>
      <c r="D229" s="3">
        <v>1</v>
      </c>
      <c r="E229" s="3">
        <f t="shared" si="6"/>
        <v>5</v>
      </c>
      <c r="F229" s="3" t="s">
        <v>137</v>
      </c>
      <c r="G229">
        <f>VLOOKUP(B229,'Grade Formula'!$A$1:$F$7,2,FALSE)*C229*D229/1000</f>
        <v>1.25</v>
      </c>
      <c r="H229">
        <f>VLOOKUP(B229,'Grade Formula'!$A$1:$F$7,4,FALSE)*C229*D229/1000</f>
        <v>4.08</v>
      </c>
      <c r="I229">
        <f>VLOOKUP(B229,'Grade Formula'!$A$1:$F$7,6,FALSE)*C229*D229/1000</f>
        <v>2.39</v>
      </c>
      <c r="J229">
        <f>VLOOKUP(B229,'Grade Formula'!$A$1:$F$7,5,FALSE)*C229*D229/1000</f>
        <v>2.93</v>
      </c>
      <c r="K229">
        <f>VLOOKUP(B229,'Grade Formula'!$A$1:$F$7,3,FALSE)*C229*D229/1000</f>
        <v>0.55000000000000004</v>
      </c>
      <c r="L229">
        <f t="shared" si="7"/>
        <v>17</v>
      </c>
    </row>
    <row r="230" spans="1:12" x14ac:dyDescent="0.3">
      <c r="A230" s="1">
        <v>45772</v>
      </c>
      <c r="B230" t="s">
        <v>4</v>
      </c>
      <c r="C230" s="3">
        <v>4</v>
      </c>
      <c r="D230" s="3">
        <v>1</v>
      </c>
      <c r="E230" s="3">
        <f t="shared" si="6"/>
        <v>4</v>
      </c>
      <c r="F230" s="3" t="s">
        <v>137</v>
      </c>
      <c r="G230">
        <f>VLOOKUP(B230,'Grade Formula'!$A$1:$F$7,2,FALSE)*C230*D230/1000</f>
        <v>1</v>
      </c>
      <c r="H230">
        <f>VLOOKUP(B230,'Grade Formula'!$A$1:$F$7,4,FALSE)*C230*D230/1000</f>
        <v>3.2639999999999998</v>
      </c>
      <c r="I230">
        <f>VLOOKUP(B230,'Grade Formula'!$A$1:$F$7,6,FALSE)*C230*D230/1000</f>
        <v>1.9119999999999999</v>
      </c>
      <c r="J230">
        <f>VLOOKUP(B230,'Grade Formula'!$A$1:$F$7,5,FALSE)*C230*D230/1000</f>
        <v>2.3439999999999999</v>
      </c>
      <c r="K230">
        <f>VLOOKUP(B230,'Grade Formula'!$A$1:$F$7,3,FALSE)*C230*D230/1000</f>
        <v>0.44</v>
      </c>
      <c r="L230">
        <f t="shared" si="7"/>
        <v>17</v>
      </c>
    </row>
    <row r="231" spans="1:12" x14ac:dyDescent="0.3">
      <c r="A231" s="1">
        <v>45772</v>
      </c>
      <c r="B231" t="s">
        <v>9</v>
      </c>
      <c r="C231" s="3">
        <v>7.5</v>
      </c>
      <c r="D231" s="3">
        <v>5</v>
      </c>
      <c r="E231" s="3">
        <f t="shared" si="6"/>
        <v>37.5</v>
      </c>
      <c r="F231" s="3" t="s">
        <v>150</v>
      </c>
      <c r="G231">
        <f>VLOOKUP(B231,'Grade Formula'!$A$1:$F$7,2,FALSE)*C231*D231/1000</f>
        <v>9.9375</v>
      </c>
      <c r="H231">
        <f>VLOOKUP(B231,'Grade Formula'!$A$1:$F$7,4,FALSE)*C231*D231/1000</f>
        <v>29.625</v>
      </c>
      <c r="I231">
        <f>VLOOKUP(B231,'Grade Formula'!$A$1:$F$7,6,FALSE)*C231*D231/1000</f>
        <v>17.625</v>
      </c>
      <c r="J231">
        <f>VLOOKUP(B231,'Grade Formula'!$A$1:$F$7,5,FALSE)*C231*D231/1000</f>
        <v>21.75</v>
      </c>
      <c r="K231">
        <f>VLOOKUP(B231,'Grade Formula'!$A$1:$F$7,3,FALSE)*C231*D231/1000</f>
        <v>4.3125</v>
      </c>
      <c r="L231">
        <f t="shared" si="7"/>
        <v>17</v>
      </c>
    </row>
    <row r="232" spans="1:12" x14ac:dyDescent="0.3">
      <c r="A232" s="1">
        <v>45773</v>
      </c>
      <c r="B232" t="s">
        <v>4</v>
      </c>
      <c r="C232" s="3">
        <v>3.25</v>
      </c>
      <c r="D232" s="3">
        <v>1</v>
      </c>
      <c r="E232" s="3">
        <f t="shared" si="6"/>
        <v>3.25</v>
      </c>
      <c r="F232" s="3" t="s">
        <v>137</v>
      </c>
      <c r="G232">
        <f>VLOOKUP(B232,'Grade Formula'!$A$1:$F$7,2,FALSE)*C232*D232/1000</f>
        <v>0.8125</v>
      </c>
      <c r="H232">
        <f>VLOOKUP(B232,'Grade Formula'!$A$1:$F$7,4,FALSE)*C232*D232/1000</f>
        <v>2.6520000000000001</v>
      </c>
      <c r="I232">
        <f>VLOOKUP(B232,'Grade Formula'!$A$1:$F$7,6,FALSE)*C232*D232/1000</f>
        <v>1.5535000000000001</v>
      </c>
      <c r="J232">
        <f>VLOOKUP(B232,'Grade Formula'!$A$1:$F$7,5,FALSE)*C232*D232/1000</f>
        <v>1.9045000000000001</v>
      </c>
      <c r="K232">
        <f>VLOOKUP(B232,'Grade Formula'!$A$1:$F$7,3,FALSE)*C232*D232/1000</f>
        <v>0.35749999999999998</v>
      </c>
      <c r="L232">
        <f t="shared" si="7"/>
        <v>17</v>
      </c>
    </row>
    <row r="233" spans="1:12" x14ac:dyDescent="0.3">
      <c r="A233" s="1">
        <v>45773</v>
      </c>
      <c r="B233" t="s">
        <v>4</v>
      </c>
      <c r="C233" s="3">
        <v>6</v>
      </c>
      <c r="D233" s="3">
        <v>2</v>
      </c>
      <c r="E233" s="3">
        <f t="shared" si="6"/>
        <v>12</v>
      </c>
      <c r="F233" s="3" t="s">
        <v>140</v>
      </c>
      <c r="G233">
        <f>VLOOKUP(B233,'Grade Formula'!$A$1:$F$7,2,FALSE)*C233*D233/1000</f>
        <v>3</v>
      </c>
      <c r="H233">
        <f>VLOOKUP(B233,'Grade Formula'!$A$1:$F$7,4,FALSE)*C233*D233/1000</f>
        <v>9.7919999999999998</v>
      </c>
      <c r="I233">
        <f>VLOOKUP(B233,'Grade Formula'!$A$1:$F$7,6,FALSE)*C233*D233/1000</f>
        <v>5.7359999999999998</v>
      </c>
      <c r="J233">
        <f>VLOOKUP(B233,'Grade Formula'!$A$1:$F$7,5,FALSE)*C233*D233/1000</f>
        <v>7.032</v>
      </c>
      <c r="K233">
        <f>VLOOKUP(B233,'Grade Formula'!$A$1:$F$7,3,FALSE)*C233*D233/1000</f>
        <v>1.32</v>
      </c>
      <c r="L233">
        <f t="shared" si="7"/>
        <v>17</v>
      </c>
    </row>
    <row r="234" spans="1:12" x14ac:dyDescent="0.3">
      <c r="A234" s="1">
        <v>45773</v>
      </c>
      <c r="B234" t="s">
        <v>4</v>
      </c>
      <c r="C234" s="3">
        <v>7</v>
      </c>
      <c r="D234" s="3">
        <v>1</v>
      </c>
      <c r="E234" s="3">
        <f t="shared" si="6"/>
        <v>7</v>
      </c>
      <c r="F234" s="3" t="s">
        <v>140</v>
      </c>
      <c r="G234">
        <f>VLOOKUP(B234,'Grade Formula'!$A$1:$F$7,2,FALSE)*C234*D234/1000</f>
        <v>1.75</v>
      </c>
      <c r="H234">
        <f>VLOOKUP(B234,'Grade Formula'!$A$1:$F$7,4,FALSE)*C234*D234/1000</f>
        <v>5.7119999999999997</v>
      </c>
      <c r="I234">
        <f>VLOOKUP(B234,'Grade Formula'!$A$1:$F$7,6,FALSE)*C234*D234/1000</f>
        <v>3.3460000000000001</v>
      </c>
      <c r="J234">
        <f>VLOOKUP(B234,'Grade Formula'!$A$1:$F$7,5,FALSE)*C234*D234/1000</f>
        <v>4.1020000000000003</v>
      </c>
      <c r="K234">
        <f>VLOOKUP(B234,'Grade Formula'!$A$1:$F$7,3,FALSE)*C234*D234/1000</f>
        <v>0.77</v>
      </c>
      <c r="L234">
        <f t="shared" si="7"/>
        <v>17</v>
      </c>
    </row>
    <row r="235" spans="1:12" x14ac:dyDescent="0.3">
      <c r="A235" s="1">
        <v>45773</v>
      </c>
      <c r="B235" t="s">
        <v>7</v>
      </c>
      <c r="C235" s="3">
        <v>7.5</v>
      </c>
      <c r="D235" s="3">
        <v>1</v>
      </c>
      <c r="E235" s="3">
        <f t="shared" si="6"/>
        <v>7.5</v>
      </c>
      <c r="F235" s="3" t="s">
        <v>140</v>
      </c>
      <c r="G235">
        <f>VLOOKUP(B235,'Grade Formula'!$A$1:$F$7,2,FALSE)*C235*D235/1000</f>
        <v>1.575</v>
      </c>
      <c r="H235">
        <f>VLOOKUP(B235,'Grade Formula'!$A$1:$F$7,4,FALSE)*C235*D235/1000</f>
        <v>5.7975000000000003</v>
      </c>
      <c r="I235">
        <f>VLOOKUP(B235,'Grade Formula'!$A$1:$F$7,6,FALSE)*C235*D235/1000</f>
        <v>3.6749999999999998</v>
      </c>
      <c r="J235">
        <f>VLOOKUP(B235,'Grade Formula'!$A$1:$F$7,5,FALSE)*C235*D235/1000</f>
        <v>4.95</v>
      </c>
      <c r="K235">
        <f>VLOOKUP(B235,'Grade Formula'!$A$1:$F$7,3,FALSE)*C235*D235/1000</f>
        <v>0</v>
      </c>
      <c r="L235">
        <f t="shared" si="7"/>
        <v>17</v>
      </c>
    </row>
    <row r="236" spans="1:12" x14ac:dyDescent="0.3">
      <c r="A236" s="1">
        <v>45773</v>
      </c>
      <c r="B236" t="s">
        <v>3</v>
      </c>
      <c r="C236" s="3">
        <v>7.5</v>
      </c>
      <c r="D236" s="3">
        <v>2</v>
      </c>
      <c r="E236" s="3">
        <f t="shared" si="6"/>
        <v>15</v>
      </c>
      <c r="F236" s="3" t="s">
        <v>132</v>
      </c>
      <c r="G236">
        <f>VLOOKUP(B236,'Grade Formula'!$A$1:$F$7,2,FALSE)*C236*D236/1000</f>
        <v>3.45</v>
      </c>
      <c r="H236">
        <f>VLOOKUP(B236,'Grade Formula'!$A$1:$F$7,4,FALSE)*C236*D236/1000</f>
        <v>10.08</v>
      </c>
      <c r="I236">
        <f>VLOOKUP(B236,'Grade Formula'!$A$1:$F$7,6,FALSE)*C236*D236/1000</f>
        <v>7.05</v>
      </c>
      <c r="J236">
        <f>VLOOKUP(B236,'Grade Formula'!$A$1:$F$7,5,FALSE)*C236*D236/1000</f>
        <v>8.9250000000000007</v>
      </c>
      <c r="K236">
        <f>VLOOKUP(B236,'Grade Formula'!$A$1:$F$7,3,FALSE)*C236*D236/1000</f>
        <v>1.5</v>
      </c>
      <c r="L236">
        <f t="shared" si="7"/>
        <v>17</v>
      </c>
    </row>
    <row r="237" spans="1:12" x14ac:dyDescent="0.3">
      <c r="A237" s="1">
        <v>45775</v>
      </c>
      <c r="B237" t="s">
        <v>3</v>
      </c>
      <c r="C237" s="3">
        <v>7</v>
      </c>
      <c r="D237" s="3">
        <v>2</v>
      </c>
      <c r="E237" s="3">
        <f t="shared" si="6"/>
        <v>14</v>
      </c>
      <c r="F237" s="3" t="s">
        <v>121</v>
      </c>
      <c r="G237">
        <f>VLOOKUP(B237,'Grade Formula'!$A$1:$F$7,2,FALSE)*C237*D237/1000</f>
        <v>3.22</v>
      </c>
      <c r="H237">
        <f>VLOOKUP(B237,'Grade Formula'!$A$1:$F$7,4,FALSE)*C237*D237/1000</f>
        <v>9.4079999999999995</v>
      </c>
      <c r="I237">
        <f>VLOOKUP(B237,'Grade Formula'!$A$1:$F$7,6,FALSE)*C237*D237/1000</f>
        <v>6.58</v>
      </c>
      <c r="J237">
        <f>VLOOKUP(B237,'Grade Formula'!$A$1:$F$7,5,FALSE)*C237*D237/1000</f>
        <v>8.33</v>
      </c>
      <c r="K237">
        <f>VLOOKUP(B237,'Grade Formula'!$A$1:$F$7,3,FALSE)*C237*D237/1000</f>
        <v>1.4</v>
      </c>
      <c r="L237">
        <f t="shared" si="7"/>
        <v>18</v>
      </c>
    </row>
    <row r="238" spans="1:12" x14ac:dyDescent="0.3">
      <c r="A238" s="1">
        <v>45777</v>
      </c>
      <c r="B238" t="s">
        <v>5</v>
      </c>
      <c r="C238" s="3">
        <v>3</v>
      </c>
      <c r="D238" s="3">
        <v>1</v>
      </c>
      <c r="E238" s="3">
        <f t="shared" si="6"/>
        <v>3</v>
      </c>
      <c r="F238" s="3" t="s">
        <v>135</v>
      </c>
      <c r="G238">
        <f>VLOOKUP(B238,'Grade Formula'!$A$1:$F$7,2,FALSE)*C238*D238/1000</f>
        <v>0.96</v>
      </c>
      <c r="H238">
        <f>VLOOKUP(B238,'Grade Formula'!$A$1:$F$7,4,FALSE)*C238*D238/1000</f>
        <v>1.8839999999999999</v>
      </c>
      <c r="I238">
        <f>VLOOKUP(B238,'Grade Formula'!$A$1:$F$7,6,FALSE)*C238*D238/1000</f>
        <v>1.41</v>
      </c>
      <c r="J238">
        <f>VLOOKUP(B238,'Grade Formula'!$A$1:$F$7,5,FALSE)*C238*D238/1000</f>
        <v>1.8</v>
      </c>
      <c r="K238">
        <f>VLOOKUP(B238,'Grade Formula'!$A$1:$F$7,3,FALSE)*C238*D238/1000</f>
        <v>0.24</v>
      </c>
      <c r="L238">
        <f t="shared" si="7"/>
        <v>18</v>
      </c>
    </row>
    <row r="239" spans="1:12" x14ac:dyDescent="0.3">
      <c r="A239" s="1">
        <v>45777</v>
      </c>
      <c r="B239" t="s">
        <v>4</v>
      </c>
      <c r="C239" s="3">
        <v>6</v>
      </c>
      <c r="D239" s="3">
        <v>2</v>
      </c>
      <c r="E239" s="3">
        <f t="shared" si="6"/>
        <v>12</v>
      </c>
      <c r="F239" s="3" t="s">
        <v>140</v>
      </c>
      <c r="G239">
        <f>VLOOKUP(B239,'Grade Formula'!$A$1:$F$7,2,FALSE)*C239*D239/1000</f>
        <v>3</v>
      </c>
      <c r="H239">
        <f>VLOOKUP(B239,'Grade Formula'!$A$1:$F$7,4,FALSE)*C239*D239/1000</f>
        <v>9.7919999999999998</v>
      </c>
      <c r="I239">
        <f>VLOOKUP(B239,'Grade Formula'!$A$1:$F$7,6,FALSE)*C239*D239/1000</f>
        <v>5.7359999999999998</v>
      </c>
      <c r="J239">
        <f>VLOOKUP(B239,'Grade Formula'!$A$1:$F$7,5,FALSE)*C239*D239/1000</f>
        <v>7.032</v>
      </c>
      <c r="K239">
        <f>VLOOKUP(B239,'Grade Formula'!$A$1:$F$7,3,FALSE)*C239*D239/1000</f>
        <v>1.32</v>
      </c>
      <c r="L239">
        <f t="shared" si="7"/>
        <v>18</v>
      </c>
    </row>
    <row r="240" spans="1:12" x14ac:dyDescent="0.3">
      <c r="A240" s="1">
        <v>45777</v>
      </c>
      <c r="B240" t="s">
        <v>4</v>
      </c>
      <c r="C240" s="3">
        <v>2</v>
      </c>
      <c r="D240" s="3">
        <v>1</v>
      </c>
      <c r="E240" s="3">
        <f t="shared" si="6"/>
        <v>2</v>
      </c>
      <c r="F240" s="3" t="s">
        <v>140</v>
      </c>
      <c r="G240">
        <f>VLOOKUP(B240,'Grade Formula'!$A$1:$F$7,2,FALSE)*C240*D240/1000</f>
        <v>0.5</v>
      </c>
      <c r="H240">
        <f>VLOOKUP(B240,'Grade Formula'!$A$1:$F$7,4,FALSE)*C240*D240/1000</f>
        <v>1.6319999999999999</v>
      </c>
      <c r="I240">
        <f>VLOOKUP(B240,'Grade Formula'!$A$1:$F$7,6,FALSE)*C240*D240/1000</f>
        <v>0.95599999999999996</v>
      </c>
      <c r="J240">
        <f>VLOOKUP(B240,'Grade Formula'!$A$1:$F$7,5,FALSE)*C240*D240/1000</f>
        <v>1.1719999999999999</v>
      </c>
      <c r="K240">
        <f>VLOOKUP(B240,'Grade Formula'!$A$1:$F$7,3,FALSE)*C240*D240/1000</f>
        <v>0.22</v>
      </c>
      <c r="L240">
        <f t="shared" si="7"/>
        <v>18</v>
      </c>
    </row>
    <row r="241" spans="1:12" x14ac:dyDescent="0.3">
      <c r="A241" s="1">
        <v>45778</v>
      </c>
      <c r="B241" t="s">
        <v>3</v>
      </c>
      <c r="C241" s="3">
        <v>5.5</v>
      </c>
      <c r="D241" s="3">
        <v>1</v>
      </c>
      <c r="E241" s="3">
        <f t="shared" si="6"/>
        <v>5.5</v>
      </c>
      <c r="F241" s="3" t="s">
        <v>97</v>
      </c>
      <c r="G241">
        <f>VLOOKUP(B241,'Grade Formula'!$A$1:$F$7,2,FALSE)*C241*D241/1000</f>
        <v>1.2649999999999999</v>
      </c>
      <c r="H241">
        <f>VLOOKUP(B241,'Grade Formula'!$A$1:$F$7,4,FALSE)*C241*D241/1000</f>
        <v>3.6960000000000002</v>
      </c>
      <c r="I241">
        <f>VLOOKUP(B241,'Grade Formula'!$A$1:$F$7,6,FALSE)*C241*D241/1000</f>
        <v>2.585</v>
      </c>
      <c r="J241">
        <f>VLOOKUP(B241,'Grade Formula'!$A$1:$F$7,5,FALSE)*C241*D241/1000</f>
        <v>3.2725</v>
      </c>
      <c r="K241">
        <f>VLOOKUP(B241,'Grade Formula'!$A$1:$F$7,3,FALSE)*C241*D241/1000</f>
        <v>0.55000000000000004</v>
      </c>
      <c r="L241">
        <f t="shared" si="7"/>
        <v>18</v>
      </c>
    </row>
    <row r="242" spans="1:12" x14ac:dyDescent="0.3">
      <c r="A242" s="1">
        <v>45778</v>
      </c>
      <c r="B242" t="s">
        <v>3</v>
      </c>
      <c r="C242" s="3">
        <v>6</v>
      </c>
      <c r="D242" s="3">
        <v>3</v>
      </c>
      <c r="E242" s="3">
        <f t="shared" si="6"/>
        <v>18</v>
      </c>
      <c r="F242" s="3" t="s">
        <v>97</v>
      </c>
      <c r="G242">
        <f>VLOOKUP(B242,'Grade Formula'!$A$1:$F$7,2,FALSE)*C242*D242/1000</f>
        <v>4.1399999999999997</v>
      </c>
      <c r="H242">
        <f>VLOOKUP(B242,'Grade Formula'!$A$1:$F$7,4,FALSE)*C242*D242/1000</f>
        <v>12.096</v>
      </c>
      <c r="I242">
        <f>VLOOKUP(B242,'Grade Formula'!$A$1:$F$7,6,FALSE)*C242*D242/1000</f>
        <v>8.4600000000000009</v>
      </c>
      <c r="J242">
        <f>VLOOKUP(B242,'Grade Formula'!$A$1:$F$7,5,FALSE)*C242*D242/1000</f>
        <v>10.71</v>
      </c>
      <c r="K242">
        <f>VLOOKUP(B242,'Grade Formula'!$A$1:$F$7,3,FALSE)*C242*D242/1000</f>
        <v>1.8</v>
      </c>
      <c r="L242">
        <f t="shared" si="7"/>
        <v>18</v>
      </c>
    </row>
    <row r="243" spans="1:12" x14ac:dyDescent="0.3">
      <c r="A243" s="1">
        <v>45778</v>
      </c>
      <c r="B243" t="s">
        <v>3</v>
      </c>
      <c r="C243" s="3">
        <v>7</v>
      </c>
      <c r="D243" s="3">
        <v>5</v>
      </c>
      <c r="E243" s="3">
        <f t="shared" si="6"/>
        <v>35</v>
      </c>
      <c r="F243" s="3" t="s">
        <v>97</v>
      </c>
      <c r="G243">
        <f>VLOOKUP(B243,'Grade Formula'!$A$1:$F$7,2,FALSE)*C243*D243/1000</f>
        <v>8.0500000000000007</v>
      </c>
      <c r="H243">
        <f>VLOOKUP(B243,'Grade Formula'!$A$1:$F$7,4,FALSE)*C243*D243/1000</f>
        <v>23.52</v>
      </c>
      <c r="I243">
        <f>VLOOKUP(B243,'Grade Formula'!$A$1:$F$7,6,FALSE)*C243*D243/1000</f>
        <v>16.45</v>
      </c>
      <c r="J243">
        <f>VLOOKUP(B243,'Grade Formula'!$A$1:$F$7,5,FALSE)*C243*D243/1000</f>
        <v>20.824999999999999</v>
      </c>
      <c r="K243">
        <f>VLOOKUP(B243,'Grade Formula'!$A$1:$F$7,3,FALSE)*C243*D243/1000</f>
        <v>3.5</v>
      </c>
      <c r="L243">
        <f t="shared" si="7"/>
        <v>18</v>
      </c>
    </row>
    <row r="244" spans="1:12" x14ac:dyDescent="0.3">
      <c r="A244" s="1">
        <v>45778</v>
      </c>
      <c r="B244" t="s">
        <v>3</v>
      </c>
      <c r="C244" s="3">
        <v>8</v>
      </c>
      <c r="D244" s="3">
        <v>1</v>
      </c>
      <c r="E244" s="3">
        <f t="shared" si="6"/>
        <v>8</v>
      </c>
      <c r="F244" s="3" t="s">
        <v>97</v>
      </c>
      <c r="G244">
        <f>VLOOKUP(B244,'Grade Formula'!$A$1:$F$7,2,FALSE)*C244*D244/1000</f>
        <v>1.84</v>
      </c>
      <c r="H244">
        <f>VLOOKUP(B244,'Grade Formula'!$A$1:$F$7,4,FALSE)*C244*D244/1000</f>
        <v>5.3760000000000003</v>
      </c>
      <c r="I244">
        <f>VLOOKUP(B244,'Grade Formula'!$A$1:$F$7,6,FALSE)*C244*D244/1000</f>
        <v>3.76</v>
      </c>
      <c r="J244">
        <f>VLOOKUP(B244,'Grade Formula'!$A$1:$F$7,5,FALSE)*C244*D244/1000</f>
        <v>4.76</v>
      </c>
      <c r="K244">
        <f>VLOOKUP(B244,'Grade Formula'!$A$1:$F$7,3,FALSE)*C244*D244/1000</f>
        <v>0.8</v>
      </c>
      <c r="L244">
        <f t="shared" si="7"/>
        <v>18</v>
      </c>
    </row>
    <row r="245" spans="1:12" x14ac:dyDescent="0.3">
      <c r="A245" s="1">
        <v>45778</v>
      </c>
      <c r="B245" t="s">
        <v>6</v>
      </c>
      <c r="C245" s="3">
        <v>6</v>
      </c>
      <c r="D245" s="3">
        <v>1</v>
      </c>
      <c r="E245" s="3">
        <f t="shared" si="6"/>
        <v>6</v>
      </c>
      <c r="F245" s="3" t="s">
        <v>103</v>
      </c>
      <c r="G245">
        <f>VLOOKUP(B245,'Grade Formula'!$A$1:$F$7,2,FALSE)*C245*D245/1000</f>
        <v>1.56</v>
      </c>
      <c r="H245">
        <f>VLOOKUP(B245,'Grade Formula'!$A$1:$F$7,4,FALSE)*C245*D245/1000</f>
        <v>4.3019999999999996</v>
      </c>
      <c r="I245">
        <f>VLOOKUP(B245,'Grade Formula'!$A$1:$F$7,6,FALSE)*C245*D245/1000</f>
        <v>2.88</v>
      </c>
      <c r="J245">
        <f>VLOOKUP(B245,'Grade Formula'!$A$1:$F$7,5,FALSE)*C245*D245/1000</f>
        <v>3.78</v>
      </c>
      <c r="K245">
        <f>VLOOKUP(B245,'Grade Formula'!$A$1:$F$7,3,FALSE)*C245*D245/1000</f>
        <v>0</v>
      </c>
      <c r="L245">
        <f t="shared" si="7"/>
        <v>18</v>
      </c>
    </row>
    <row r="246" spans="1:12" x14ac:dyDescent="0.3">
      <c r="A246" s="1">
        <v>45778</v>
      </c>
      <c r="B246" t="s">
        <v>3</v>
      </c>
      <c r="C246" s="3">
        <v>7</v>
      </c>
      <c r="D246" s="3">
        <v>5</v>
      </c>
      <c r="E246" s="3">
        <f t="shared" si="6"/>
        <v>35</v>
      </c>
      <c r="F246" s="3" t="s">
        <v>128</v>
      </c>
      <c r="G246">
        <f>VLOOKUP(B246,'Grade Formula'!$A$1:$F$7,2,FALSE)*C246*D246/1000</f>
        <v>8.0500000000000007</v>
      </c>
      <c r="H246">
        <f>VLOOKUP(B246,'Grade Formula'!$A$1:$F$7,4,FALSE)*C246*D246/1000</f>
        <v>23.52</v>
      </c>
      <c r="I246">
        <f>VLOOKUP(B246,'Grade Formula'!$A$1:$F$7,6,FALSE)*C246*D246/1000</f>
        <v>16.45</v>
      </c>
      <c r="J246">
        <f>VLOOKUP(B246,'Grade Formula'!$A$1:$F$7,5,FALSE)*C246*D246/1000</f>
        <v>20.824999999999999</v>
      </c>
      <c r="K246">
        <f>VLOOKUP(B246,'Grade Formula'!$A$1:$F$7,3,FALSE)*C246*D246/1000</f>
        <v>3.5</v>
      </c>
      <c r="L246">
        <f t="shared" si="7"/>
        <v>18</v>
      </c>
    </row>
    <row r="247" spans="1:12" x14ac:dyDescent="0.3">
      <c r="A247" s="1">
        <v>45778</v>
      </c>
      <c r="B247" t="s">
        <v>3</v>
      </c>
      <c r="C247" s="3">
        <v>1.5</v>
      </c>
      <c r="D247" s="3">
        <v>1</v>
      </c>
      <c r="E247" s="3">
        <f t="shared" si="6"/>
        <v>1.5</v>
      </c>
      <c r="F247" s="3" t="s">
        <v>128</v>
      </c>
      <c r="G247">
        <f>VLOOKUP(B247,'Grade Formula'!$A$1:$F$7,2,FALSE)*C247*D247/1000</f>
        <v>0.34499999999999997</v>
      </c>
      <c r="H247">
        <f>VLOOKUP(B247,'Grade Formula'!$A$1:$F$7,4,FALSE)*C247*D247/1000</f>
        <v>1.008</v>
      </c>
      <c r="I247">
        <f>VLOOKUP(B247,'Grade Formula'!$A$1:$F$7,6,FALSE)*C247*D247/1000</f>
        <v>0.70499999999999996</v>
      </c>
      <c r="J247">
        <f>VLOOKUP(B247,'Grade Formula'!$A$1:$F$7,5,FALSE)*C247*D247/1000</f>
        <v>0.89249999999999996</v>
      </c>
      <c r="K247">
        <f>VLOOKUP(B247,'Grade Formula'!$A$1:$F$7,3,FALSE)*C247*D247/1000</f>
        <v>0.15</v>
      </c>
      <c r="L247">
        <f t="shared" si="7"/>
        <v>18</v>
      </c>
    </row>
    <row r="248" spans="1:12" x14ac:dyDescent="0.3">
      <c r="A248" s="1">
        <v>45780</v>
      </c>
      <c r="B248" t="s">
        <v>4</v>
      </c>
      <c r="C248" s="3">
        <v>7</v>
      </c>
      <c r="D248" s="3">
        <v>2</v>
      </c>
      <c r="E248" s="3">
        <f t="shared" si="6"/>
        <v>14</v>
      </c>
      <c r="F248" s="3" t="s">
        <v>103</v>
      </c>
      <c r="G248">
        <f>VLOOKUP(B248,'Grade Formula'!$A$1:$F$7,2,FALSE)*C248*D248/1000</f>
        <v>3.5</v>
      </c>
      <c r="H248">
        <f>VLOOKUP(B248,'Grade Formula'!$A$1:$F$7,4,FALSE)*C248*D248/1000</f>
        <v>11.423999999999999</v>
      </c>
      <c r="I248">
        <f>VLOOKUP(B248,'Grade Formula'!$A$1:$F$7,6,FALSE)*C248*D248/1000</f>
        <v>6.6920000000000002</v>
      </c>
      <c r="J248">
        <f>VLOOKUP(B248,'Grade Formula'!$A$1:$F$7,5,FALSE)*C248*D248/1000</f>
        <v>8.2040000000000006</v>
      </c>
      <c r="K248">
        <f>VLOOKUP(B248,'Grade Formula'!$A$1:$F$7,3,FALSE)*C248*D248/1000</f>
        <v>1.54</v>
      </c>
      <c r="L248">
        <f t="shared" si="7"/>
        <v>18</v>
      </c>
    </row>
    <row r="249" spans="1:12" x14ac:dyDescent="0.3">
      <c r="A249" s="1">
        <v>45780</v>
      </c>
      <c r="B249" t="s">
        <v>3</v>
      </c>
      <c r="C249" s="3">
        <v>7</v>
      </c>
      <c r="D249" s="3">
        <v>2</v>
      </c>
      <c r="E249" s="3">
        <f t="shared" si="6"/>
        <v>14</v>
      </c>
      <c r="F249" s="3" t="s">
        <v>123</v>
      </c>
      <c r="G249">
        <f>VLOOKUP(B249,'Grade Formula'!$A$1:$F$7,2,FALSE)*C249*D249/1000</f>
        <v>3.22</v>
      </c>
      <c r="H249">
        <f>VLOOKUP(B249,'Grade Formula'!$A$1:$F$7,4,FALSE)*C249*D249/1000</f>
        <v>9.4079999999999995</v>
      </c>
      <c r="I249">
        <f>VLOOKUP(B249,'Grade Formula'!$A$1:$F$7,6,FALSE)*C249*D249/1000</f>
        <v>6.58</v>
      </c>
      <c r="J249">
        <f>VLOOKUP(B249,'Grade Formula'!$A$1:$F$7,5,FALSE)*C249*D249/1000</f>
        <v>8.33</v>
      </c>
      <c r="K249">
        <f>VLOOKUP(B249,'Grade Formula'!$A$1:$F$7,3,FALSE)*C249*D249/1000</f>
        <v>1.4</v>
      </c>
      <c r="L249">
        <f t="shared" si="7"/>
        <v>18</v>
      </c>
    </row>
    <row r="250" spans="1:12" x14ac:dyDescent="0.3">
      <c r="A250" s="1">
        <v>45780</v>
      </c>
      <c r="B250" t="s">
        <v>3</v>
      </c>
      <c r="C250" s="3">
        <v>6.5</v>
      </c>
      <c r="D250" s="3">
        <v>1</v>
      </c>
      <c r="E250" s="3">
        <f t="shared" si="6"/>
        <v>6.5</v>
      </c>
      <c r="F250" s="3" t="s">
        <v>123</v>
      </c>
      <c r="G250">
        <f>VLOOKUP(B250,'Grade Formula'!$A$1:$F$7,2,FALSE)*C250*D250/1000</f>
        <v>1.4950000000000001</v>
      </c>
      <c r="H250">
        <f>VLOOKUP(B250,'Grade Formula'!$A$1:$F$7,4,FALSE)*C250*D250/1000</f>
        <v>4.3680000000000003</v>
      </c>
      <c r="I250">
        <f>VLOOKUP(B250,'Grade Formula'!$A$1:$F$7,6,FALSE)*C250*D250/1000</f>
        <v>3.0550000000000002</v>
      </c>
      <c r="J250">
        <f>VLOOKUP(B250,'Grade Formula'!$A$1:$F$7,5,FALSE)*C250*D250/1000</f>
        <v>3.8675000000000002</v>
      </c>
      <c r="K250">
        <f>VLOOKUP(B250,'Grade Formula'!$A$1:$F$7,3,FALSE)*C250*D250/1000</f>
        <v>0.65</v>
      </c>
      <c r="L250">
        <f t="shared" si="7"/>
        <v>18</v>
      </c>
    </row>
    <row r="251" spans="1:12" x14ac:dyDescent="0.3">
      <c r="A251" s="1">
        <v>45780</v>
      </c>
      <c r="B251" t="s">
        <v>5</v>
      </c>
      <c r="C251" s="3">
        <v>6</v>
      </c>
      <c r="D251" s="3">
        <v>1</v>
      </c>
      <c r="E251" s="3">
        <f t="shared" si="6"/>
        <v>6</v>
      </c>
      <c r="F251" s="3" t="s">
        <v>109</v>
      </c>
      <c r="G251">
        <f>VLOOKUP(B251,'Grade Formula'!$A$1:$F$7,2,FALSE)*C251*D251/1000</f>
        <v>1.92</v>
      </c>
      <c r="H251">
        <f>VLOOKUP(B251,'Grade Formula'!$A$1:$F$7,4,FALSE)*C251*D251/1000</f>
        <v>3.7679999999999998</v>
      </c>
      <c r="I251">
        <f>VLOOKUP(B251,'Grade Formula'!$A$1:$F$7,6,FALSE)*C251*D251/1000</f>
        <v>2.82</v>
      </c>
      <c r="J251">
        <f>VLOOKUP(B251,'Grade Formula'!$A$1:$F$7,5,FALSE)*C251*D251/1000</f>
        <v>3.6</v>
      </c>
      <c r="K251">
        <f>VLOOKUP(B251,'Grade Formula'!$A$1:$F$7,3,FALSE)*C251*D251/1000</f>
        <v>0.48</v>
      </c>
      <c r="L251">
        <f t="shared" si="7"/>
        <v>18</v>
      </c>
    </row>
    <row r="252" spans="1:12" x14ac:dyDescent="0.3">
      <c r="A252" s="1">
        <v>45780</v>
      </c>
      <c r="B252" t="s">
        <v>5</v>
      </c>
      <c r="C252" s="3">
        <v>7</v>
      </c>
      <c r="D252" s="3">
        <v>2</v>
      </c>
      <c r="E252" s="3">
        <f t="shared" si="6"/>
        <v>14</v>
      </c>
      <c r="F252" s="3" t="s">
        <v>114</v>
      </c>
      <c r="G252">
        <f>VLOOKUP(B252,'Grade Formula'!$A$1:$F$7,2,FALSE)*C252*D252/1000</f>
        <v>4.4800000000000004</v>
      </c>
      <c r="H252">
        <f>VLOOKUP(B252,'Grade Formula'!$A$1:$F$7,4,FALSE)*C252*D252/1000</f>
        <v>8.7919999999999998</v>
      </c>
      <c r="I252">
        <f>VLOOKUP(B252,'Grade Formula'!$A$1:$F$7,6,FALSE)*C252*D252/1000</f>
        <v>6.58</v>
      </c>
      <c r="J252">
        <f>VLOOKUP(B252,'Grade Formula'!$A$1:$F$7,5,FALSE)*C252*D252/1000</f>
        <v>8.4</v>
      </c>
      <c r="K252">
        <f>VLOOKUP(B252,'Grade Formula'!$A$1:$F$7,3,FALSE)*C252*D252/1000</f>
        <v>1.1200000000000001</v>
      </c>
      <c r="L252">
        <f t="shared" si="7"/>
        <v>18</v>
      </c>
    </row>
    <row r="253" spans="1:12" x14ac:dyDescent="0.3">
      <c r="A253" s="1">
        <v>45780</v>
      </c>
      <c r="B253" t="s">
        <v>5</v>
      </c>
      <c r="C253" s="3">
        <v>6</v>
      </c>
      <c r="D253" s="3">
        <v>1</v>
      </c>
      <c r="E253" s="3">
        <f t="shared" si="6"/>
        <v>6</v>
      </c>
      <c r="F253" s="3" t="s">
        <v>114</v>
      </c>
      <c r="G253">
        <f>VLOOKUP(B253,'Grade Formula'!$A$1:$F$7,2,FALSE)*C253*D253/1000</f>
        <v>1.92</v>
      </c>
      <c r="H253">
        <f>VLOOKUP(B253,'Grade Formula'!$A$1:$F$7,4,FALSE)*C253*D253/1000</f>
        <v>3.7679999999999998</v>
      </c>
      <c r="I253">
        <f>VLOOKUP(B253,'Grade Formula'!$A$1:$F$7,6,FALSE)*C253*D253/1000</f>
        <v>2.82</v>
      </c>
      <c r="J253">
        <f>VLOOKUP(B253,'Grade Formula'!$A$1:$F$7,5,FALSE)*C253*D253/1000</f>
        <v>3.6</v>
      </c>
      <c r="K253">
        <f>VLOOKUP(B253,'Grade Formula'!$A$1:$F$7,3,FALSE)*C253*D253/1000</f>
        <v>0.48</v>
      </c>
      <c r="L253">
        <f t="shared" si="7"/>
        <v>18</v>
      </c>
    </row>
    <row r="254" spans="1:12" x14ac:dyDescent="0.3">
      <c r="A254" s="1">
        <v>45780</v>
      </c>
      <c r="B254" t="s">
        <v>4</v>
      </c>
      <c r="C254" s="3">
        <v>7</v>
      </c>
      <c r="D254" s="3">
        <v>1</v>
      </c>
      <c r="E254" s="3">
        <f t="shared" si="6"/>
        <v>7</v>
      </c>
      <c r="F254" s="3" t="s">
        <v>103</v>
      </c>
      <c r="G254">
        <f>VLOOKUP(B254,'Grade Formula'!$A$1:$F$7,2,FALSE)*C254*D254/1000</f>
        <v>1.75</v>
      </c>
      <c r="H254">
        <f>VLOOKUP(B254,'Grade Formula'!$A$1:$F$7,4,FALSE)*C254*D254/1000</f>
        <v>5.7119999999999997</v>
      </c>
      <c r="I254">
        <f>VLOOKUP(B254,'Grade Formula'!$A$1:$F$7,6,FALSE)*C254*D254/1000</f>
        <v>3.3460000000000001</v>
      </c>
      <c r="J254">
        <f>VLOOKUP(B254,'Grade Formula'!$A$1:$F$7,5,FALSE)*C254*D254/1000</f>
        <v>4.1020000000000003</v>
      </c>
      <c r="K254">
        <f>VLOOKUP(B254,'Grade Formula'!$A$1:$F$7,3,FALSE)*C254*D254/1000</f>
        <v>0.77</v>
      </c>
      <c r="L254">
        <f t="shared" si="7"/>
        <v>18</v>
      </c>
    </row>
    <row r="255" spans="1:12" x14ac:dyDescent="0.3">
      <c r="A255" s="1">
        <v>45780</v>
      </c>
      <c r="B255" t="s">
        <v>4</v>
      </c>
      <c r="C255" s="3">
        <v>6.5</v>
      </c>
      <c r="D255" s="3">
        <v>1</v>
      </c>
      <c r="E255" s="3">
        <f t="shared" si="6"/>
        <v>6.5</v>
      </c>
      <c r="F255" s="3" t="s">
        <v>103</v>
      </c>
      <c r="G255">
        <f>VLOOKUP(B255,'Grade Formula'!$A$1:$F$7,2,FALSE)*C255*D255/1000</f>
        <v>1.625</v>
      </c>
      <c r="H255">
        <f>VLOOKUP(B255,'Grade Formula'!$A$1:$F$7,4,FALSE)*C255*D255/1000</f>
        <v>5.3040000000000003</v>
      </c>
      <c r="I255">
        <f>VLOOKUP(B255,'Grade Formula'!$A$1:$F$7,6,FALSE)*C255*D255/1000</f>
        <v>3.1070000000000002</v>
      </c>
      <c r="J255">
        <f>VLOOKUP(B255,'Grade Formula'!$A$1:$F$7,5,FALSE)*C255*D255/1000</f>
        <v>3.8090000000000002</v>
      </c>
      <c r="K255">
        <f>VLOOKUP(B255,'Grade Formula'!$A$1:$F$7,3,FALSE)*C255*D255/1000</f>
        <v>0.71499999999999997</v>
      </c>
      <c r="L255">
        <f t="shared" si="7"/>
        <v>18</v>
      </c>
    </row>
    <row r="256" spans="1:12" x14ac:dyDescent="0.3">
      <c r="A256" s="1">
        <v>45780</v>
      </c>
      <c r="B256" t="s">
        <v>4</v>
      </c>
      <c r="C256" s="3">
        <v>6</v>
      </c>
      <c r="D256" s="3">
        <v>1</v>
      </c>
      <c r="E256" s="3">
        <f t="shared" si="6"/>
        <v>6</v>
      </c>
      <c r="F256" s="3" t="s">
        <v>140</v>
      </c>
      <c r="G256">
        <f>VLOOKUP(B256,'Grade Formula'!$A$1:$F$7,2,FALSE)*C256*D256/1000</f>
        <v>1.5</v>
      </c>
      <c r="H256">
        <f>VLOOKUP(B256,'Grade Formula'!$A$1:$F$7,4,FALSE)*C256*D256/1000</f>
        <v>4.8959999999999999</v>
      </c>
      <c r="I256">
        <f>VLOOKUP(B256,'Grade Formula'!$A$1:$F$7,6,FALSE)*C256*D256/1000</f>
        <v>2.8679999999999999</v>
      </c>
      <c r="J256">
        <f>VLOOKUP(B256,'Grade Formula'!$A$1:$F$7,5,FALSE)*C256*D256/1000</f>
        <v>3.516</v>
      </c>
      <c r="K256">
        <f>VLOOKUP(B256,'Grade Formula'!$A$1:$F$7,3,FALSE)*C256*D256/1000</f>
        <v>0.66</v>
      </c>
      <c r="L256">
        <f t="shared" si="7"/>
        <v>18</v>
      </c>
    </row>
    <row r="257" spans="1:12" x14ac:dyDescent="0.3">
      <c r="A257" s="1">
        <v>45780</v>
      </c>
      <c r="B257" t="s">
        <v>4</v>
      </c>
      <c r="C257" s="3">
        <v>5</v>
      </c>
      <c r="D257" s="3">
        <v>1</v>
      </c>
      <c r="E257" s="3">
        <f t="shared" si="6"/>
        <v>5</v>
      </c>
      <c r="F257" s="3" t="s">
        <v>140</v>
      </c>
      <c r="G257">
        <f>VLOOKUP(B257,'Grade Formula'!$A$1:$F$7,2,FALSE)*C257*D257/1000</f>
        <v>1.25</v>
      </c>
      <c r="H257">
        <f>VLOOKUP(B257,'Grade Formula'!$A$1:$F$7,4,FALSE)*C257*D257/1000</f>
        <v>4.08</v>
      </c>
      <c r="I257">
        <f>VLOOKUP(B257,'Grade Formula'!$A$1:$F$7,6,FALSE)*C257*D257/1000</f>
        <v>2.39</v>
      </c>
      <c r="J257">
        <f>VLOOKUP(B257,'Grade Formula'!$A$1:$F$7,5,FALSE)*C257*D257/1000</f>
        <v>2.93</v>
      </c>
      <c r="K257">
        <f>VLOOKUP(B257,'Grade Formula'!$A$1:$F$7,3,FALSE)*C257*D257/1000</f>
        <v>0.55000000000000004</v>
      </c>
      <c r="L257">
        <f t="shared" si="7"/>
        <v>18</v>
      </c>
    </row>
    <row r="258" spans="1:12" x14ac:dyDescent="0.3">
      <c r="A258" s="1">
        <v>45780</v>
      </c>
      <c r="B258" t="s">
        <v>4</v>
      </c>
      <c r="C258" s="3">
        <v>3</v>
      </c>
      <c r="D258" s="3">
        <v>1</v>
      </c>
      <c r="E258" s="3">
        <f t="shared" si="6"/>
        <v>3</v>
      </c>
      <c r="F258" s="3" t="s">
        <v>140</v>
      </c>
      <c r="G258">
        <f>VLOOKUP(B258,'Grade Formula'!$A$1:$F$7,2,FALSE)*C258*D258/1000</f>
        <v>0.75</v>
      </c>
      <c r="H258">
        <f>VLOOKUP(B258,'Grade Formula'!$A$1:$F$7,4,FALSE)*C258*D258/1000</f>
        <v>2.448</v>
      </c>
      <c r="I258">
        <f>VLOOKUP(B258,'Grade Formula'!$A$1:$F$7,6,FALSE)*C258*D258/1000</f>
        <v>1.4339999999999999</v>
      </c>
      <c r="J258">
        <f>VLOOKUP(B258,'Grade Formula'!$A$1:$F$7,5,FALSE)*C258*D258/1000</f>
        <v>1.758</v>
      </c>
      <c r="K258">
        <f>VLOOKUP(B258,'Grade Formula'!$A$1:$F$7,3,FALSE)*C258*D258/1000</f>
        <v>0.33</v>
      </c>
      <c r="L258">
        <f t="shared" si="7"/>
        <v>18</v>
      </c>
    </row>
    <row r="259" spans="1:12" x14ac:dyDescent="0.3">
      <c r="A259" s="1">
        <v>45780</v>
      </c>
      <c r="B259" t="s">
        <v>3</v>
      </c>
      <c r="C259" s="3">
        <v>4</v>
      </c>
      <c r="D259" s="3">
        <v>1</v>
      </c>
      <c r="E259" s="3">
        <f t="shared" ref="E259:E322" si="8">C259*D259</f>
        <v>4</v>
      </c>
      <c r="F259" s="3" t="s">
        <v>93</v>
      </c>
      <c r="G259">
        <f>VLOOKUP(B259,'Grade Formula'!$A$1:$F$7,2,FALSE)*C259*D259/1000</f>
        <v>0.92</v>
      </c>
      <c r="H259">
        <f>VLOOKUP(B259,'Grade Formula'!$A$1:$F$7,4,FALSE)*C259*D259/1000</f>
        <v>2.6880000000000002</v>
      </c>
      <c r="I259">
        <f>VLOOKUP(B259,'Grade Formula'!$A$1:$F$7,6,FALSE)*C259*D259/1000</f>
        <v>1.88</v>
      </c>
      <c r="J259">
        <f>VLOOKUP(B259,'Grade Formula'!$A$1:$F$7,5,FALSE)*C259*D259/1000</f>
        <v>2.38</v>
      </c>
      <c r="K259">
        <f>VLOOKUP(B259,'Grade Formula'!$A$1:$F$7,3,FALSE)*C259*D259/1000</f>
        <v>0.4</v>
      </c>
      <c r="L259">
        <f t="shared" ref="L259:L322" si="9">WEEKNUM(A259)</f>
        <v>18</v>
      </c>
    </row>
    <row r="260" spans="1:12" x14ac:dyDescent="0.3">
      <c r="A260" s="1">
        <v>45783</v>
      </c>
      <c r="B260" t="s">
        <v>5</v>
      </c>
      <c r="C260" s="3">
        <v>7</v>
      </c>
      <c r="D260" s="3">
        <v>6</v>
      </c>
      <c r="E260" s="3">
        <f t="shared" si="8"/>
        <v>42</v>
      </c>
      <c r="F260" s="3" t="s">
        <v>91</v>
      </c>
      <c r="G260">
        <f>VLOOKUP(B260,'Grade Formula'!$A$1:$F$7,2,FALSE)*C260*D260/1000</f>
        <v>13.44</v>
      </c>
      <c r="H260">
        <f>VLOOKUP(B260,'Grade Formula'!$A$1:$F$7,4,FALSE)*C260*D260/1000</f>
        <v>26.376000000000001</v>
      </c>
      <c r="I260">
        <f>VLOOKUP(B260,'Grade Formula'!$A$1:$F$7,6,FALSE)*C260*D260/1000</f>
        <v>19.739999999999998</v>
      </c>
      <c r="J260">
        <f>VLOOKUP(B260,'Grade Formula'!$A$1:$F$7,5,FALSE)*C260*D260/1000</f>
        <v>25.2</v>
      </c>
      <c r="K260">
        <f>VLOOKUP(B260,'Grade Formula'!$A$1:$F$7,3,FALSE)*C260*D260/1000</f>
        <v>3.36</v>
      </c>
      <c r="L260">
        <f t="shared" si="9"/>
        <v>19</v>
      </c>
    </row>
    <row r="261" spans="1:12" x14ac:dyDescent="0.3">
      <c r="A261" s="1">
        <v>45784</v>
      </c>
      <c r="B261" t="s">
        <v>7</v>
      </c>
      <c r="C261" s="3">
        <v>6</v>
      </c>
      <c r="D261" s="3">
        <v>3</v>
      </c>
      <c r="E261" s="3">
        <f t="shared" si="8"/>
        <v>18</v>
      </c>
      <c r="F261" s="3" t="s">
        <v>142</v>
      </c>
      <c r="G261">
        <f>VLOOKUP(B261,'Grade Formula'!$A$1:$F$7,2,FALSE)*C261*D261/1000</f>
        <v>3.78</v>
      </c>
      <c r="H261">
        <f>VLOOKUP(B261,'Grade Formula'!$A$1:$F$7,4,FALSE)*C261*D261/1000</f>
        <v>13.914</v>
      </c>
      <c r="I261">
        <f>VLOOKUP(B261,'Grade Formula'!$A$1:$F$7,6,FALSE)*C261*D261/1000</f>
        <v>8.82</v>
      </c>
      <c r="J261">
        <f>VLOOKUP(B261,'Grade Formula'!$A$1:$F$7,5,FALSE)*C261*D261/1000</f>
        <v>11.88</v>
      </c>
      <c r="K261">
        <f>VLOOKUP(B261,'Grade Formula'!$A$1:$F$7,3,FALSE)*C261*D261/1000</f>
        <v>0</v>
      </c>
      <c r="L261">
        <f t="shared" si="9"/>
        <v>19</v>
      </c>
    </row>
    <row r="262" spans="1:12" x14ac:dyDescent="0.3">
      <c r="A262" s="1">
        <v>45785</v>
      </c>
      <c r="B262" t="s">
        <v>4</v>
      </c>
      <c r="C262" s="3">
        <v>6.5</v>
      </c>
      <c r="D262" s="3">
        <v>1</v>
      </c>
      <c r="E262" s="3">
        <f t="shared" si="8"/>
        <v>6.5</v>
      </c>
      <c r="F262" s="3" t="s">
        <v>152</v>
      </c>
      <c r="G262">
        <f>VLOOKUP(B262,'Grade Formula'!$A$1:$F$7,2,FALSE)*C262*D262/1000</f>
        <v>1.625</v>
      </c>
      <c r="H262">
        <f>VLOOKUP(B262,'Grade Formula'!$A$1:$F$7,4,FALSE)*C262*D262/1000</f>
        <v>5.3040000000000003</v>
      </c>
      <c r="I262">
        <f>VLOOKUP(B262,'Grade Formula'!$A$1:$F$7,6,FALSE)*C262*D262/1000</f>
        <v>3.1070000000000002</v>
      </c>
      <c r="J262">
        <f>VLOOKUP(B262,'Grade Formula'!$A$1:$F$7,5,FALSE)*C262*D262/1000</f>
        <v>3.8090000000000002</v>
      </c>
      <c r="K262">
        <f>VLOOKUP(B262,'Grade Formula'!$A$1:$F$7,3,FALSE)*C262*D262/1000</f>
        <v>0.71499999999999997</v>
      </c>
      <c r="L262">
        <f t="shared" si="9"/>
        <v>19</v>
      </c>
    </row>
    <row r="263" spans="1:12" x14ac:dyDescent="0.3">
      <c r="A263" s="1">
        <v>45785</v>
      </c>
      <c r="B263" t="s">
        <v>4</v>
      </c>
      <c r="C263" s="3">
        <v>7</v>
      </c>
      <c r="D263" s="3">
        <v>1</v>
      </c>
      <c r="E263" s="3">
        <f t="shared" si="8"/>
        <v>7</v>
      </c>
      <c r="F263" s="3" t="s">
        <v>152</v>
      </c>
      <c r="G263">
        <f>VLOOKUP(B263,'Grade Formula'!$A$1:$F$7,2,FALSE)*C263*D263/1000</f>
        <v>1.75</v>
      </c>
      <c r="H263">
        <f>VLOOKUP(B263,'Grade Formula'!$A$1:$F$7,4,FALSE)*C263*D263/1000</f>
        <v>5.7119999999999997</v>
      </c>
      <c r="I263">
        <f>VLOOKUP(B263,'Grade Formula'!$A$1:$F$7,6,FALSE)*C263*D263/1000</f>
        <v>3.3460000000000001</v>
      </c>
      <c r="J263">
        <f>VLOOKUP(B263,'Grade Formula'!$A$1:$F$7,5,FALSE)*C263*D263/1000</f>
        <v>4.1020000000000003</v>
      </c>
      <c r="K263">
        <f>VLOOKUP(B263,'Grade Formula'!$A$1:$F$7,3,FALSE)*C263*D263/1000</f>
        <v>0.77</v>
      </c>
      <c r="L263">
        <f t="shared" si="9"/>
        <v>19</v>
      </c>
    </row>
    <row r="264" spans="1:12" x14ac:dyDescent="0.3">
      <c r="A264" s="1">
        <v>45785</v>
      </c>
      <c r="B264" t="s">
        <v>5</v>
      </c>
      <c r="C264" s="3">
        <v>7</v>
      </c>
      <c r="D264" s="3">
        <v>1</v>
      </c>
      <c r="E264" s="3">
        <f t="shared" si="8"/>
        <v>7</v>
      </c>
      <c r="F264" s="3" t="s">
        <v>127</v>
      </c>
      <c r="G264">
        <f>VLOOKUP(B264,'Grade Formula'!$A$1:$F$7,2,FALSE)*C264*D264/1000</f>
        <v>2.2400000000000002</v>
      </c>
      <c r="H264">
        <f>VLOOKUP(B264,'Grade Formula'!$A$1:$F$7,4,FALSE)*C264*D264/1000</f>
        <v>4.3959999999999999</v>
      </c>
      <c r="I264">
        <f>VLOOKUP(B264,'Grade Formula'!$A$1:$F$7,6,FALSE)*C264*D264/1000</f>
        <v>3.29</v>
      </c>
      <c r="J264">
        <f>VLOOKUP(B264,'Grade Formula'!$A$1:$F$7,5,FALSE)*C264*D264/1000</f>
        <v>4.2</v>
      </c>
      <c r="K264">
        <f>VLOOKUP(B264,'Grade Formula'!$A$1:$F$7,3,FALSE)*C264*D264/1000</f>
        <v>0.56000000000000005</v>
      </c>
      <c r="L264">
        <f t="shared" si="9"/>
        <v>19</v>
      </c>
    </row>
    <row r="265" spans="1:12" x14ac:dyDescent="0.3">
      <c r="A265" s="1">
        <v>45785</v>
      </c>
      <c r="B265" t="s">
        <v>5</v>
      </c>
      <c r="C265" s="3">
        <v>6</v>
      </c>
      <c r="D265" s="3">
        <v>2</v>
      </c>
      <c r="E265" s="3">
        <f t="shared" si="8"/>
        <v>12</v>
      </c>
      <c r="F265" s="3" t="s">
        <v>88</v>
      </c>
      <c r="G265">
        <f>VLOOKUP(B265,'Grade Formula'!$A$1:$F$7,2,FALSE)*C265*D265/1000</f>
        <v>3.84</v>
      </c>
      <c r="H265">
        <f>VLOOKUP(B265,'Grade Formula'!$A$1:$F$7,4,FALSE)*C265*D265/1000</f>
        <v>7.5359999999999996</v>
      </c>
      <c r="I265">
        <f>VLOOKUP(B265,'Grade Formula'!$A$1:$F$7,6,FALSE)*C265*D265/1000</f>
        <v>5.64</v>
      </c>
      <c r="J265">
        <f>VLOOKUP(B265,'Grade Formula'!$A$1:$F$7,5,FALSE)*C265*D265/1000</f>
        <v>7.2</v>
      </c>
      <c r="K265">
        <f>VLOOKUP(B265,'Grade Formula'!$A$1:$F$7,3,FALSE)*C265*D265/1000</f>
        <v>0.96</v>
      </c>
      <c r="L265">
        <f t="shared" si="9"/>
        <v>19</v>
      </c>
    </row>
    <row r="266" spans="1:12" x14ac:dyDescent="0.3">
      <c r="A266" s="1">
        <v>45786</v>
      </c>
      <c r="B266" t="s">
        <v>7</v>
      </c>
      <c r="C266" s="3">
        <v>7</v>
      </c>
      <c r="D266" s="3">
        <v>1</v>
      </c>
      <c r="E266" s="3">
        <f t="shared" si="8"/>
        <v>7</v>
      </c>
      <c r="F266" s="3" t="s">
        <v>115</v>
      </c>
      <c r="G266">
        <f>VLOOKUP(B266,'Grade Formula'!$A$1:$F$7,2,FALSE)*C266*D266/1000</f>
        <v>1.47</v>
      </c>
      <c r="H266">
        <f>VLOOKUP(B266,'Grade Formula'!$A$1:$F$7,4,FALSE)*C266*D266/1000</f>
        <v>5.4109999999999996</v>
      </c>
      <c r="I266">
        <f>VLOOKUP(B266,'Grade Formula'!$A$1:$F$7,6,FALSE)*C266*D266/1000</f>
        <v>3.43</v>
      </c>
      <c r="J266">
        <f>VLOOKUP(B266,'Grade Formula'!$A$1:$F$7,5,FALSE)*C266*D266/1000</f>
        <v>4.62</v>
      </c>
      <c r="K266">
        <f>VLOOKUP(B266,'Grade Formula'!$A$1:$F$7,3,FALSE)*C266*D266/1000</f>
        <v>0</v>
      </c>
      <c r="L266">
        <f t="shared" si="9"/>
        <v>19</v>
      </c>
    </row>
    <row r="267" spans="1:12" x14ac:dyDescent="0.3">
      <c r="A267" s="1">
        <v>45786</v>
      </c>
      <c r="B267" t="s">
        <v>7</v>
      </c>
      <c r="C267" s="3">
        <v>6</v>
      </c>
      <c r="D267" s="3">
        <v>2</v>
      </c>
      <c r="E267" s="3">
        <f t="shared" si="8"/>
        <v>12</v>
      </c>
      <c r="F267" s="3" t="s">
        <v>144</v>
      </c>
      <c r="G267">
        <f>VLOOKUP(B267,'Grade Formula'!$A$1:$F$7,2,FALSE)*C267*D267/1000</f>
        <v>2.52</v>
      </c>
      <c r="H267">
        <f>VLOOKUP(B267,'Grade Formula'!$A$1:$F$7,4,FALSE)*C267*D267/1000</f>
        <v>9.2759999999999998</v>
      </c>
      <c r="I267">
        <f>VLOOKUP(B267,'Grade Formula'!$A$1:$F$7,6,FALSE)*C267*D267/1000</f>
        <v>5.88</v>
      </c>
      <c r="J267">
        <f>VLOOKUP(B267,'Grade Formula'!$A$1:$F$7,5,FALSE)*C267*D267/1000</f>
        <v>7.92</v>
      </c>
      <c r="K267">
        <f>VLOOKUP(B267,'Grade Formula'!$A$1:$F$7,3,FALSE)*C267*D267/1000</f>
        <v>0</v>
      </c>
      <c r="L267">
        <f t="shared" si="9"/>
        <v>19</v>
      </c>
    </row>
    <row r="268" spans="1:12" x14ac:dyDescent="0.3">
      <c r="A268" s="1">
        <v>45786</v>
      </c>
      <c r="B268" t="s">
        <v>7</v>
      </c>
      <c r="C268" s="3">
        <v>7</v>
      </c>
      <c r="D268" s="3">
        <v>3</v>
      </c>
      <c r="E268" s="3">
        <f t="shared" si="8"/>
        <v>21</v>
      </c>
      <c r="F268" s="3" t="s">
        <v>144</v>
      </c>
      <c r="G268">
        <f>VLOOKUP(B268,'Grade Formula'!$A$1:$F$7,2,FALSE)*C268*D268/1000</f>
        <v>4.41</v>
      </c>
      <c r="H268">
        <f>VLOOKUP(B268,'Grade Formula'!$A$1:$F$7,4,FALSE)*C268*D268/1000</f>
        <v>16.233000000000001</v>
      </c>
      <c r="I268">
        <f>VLOOKUP(B268,'Grade Formula'!$A$1:$F$7,6,FALSE)*C268*D268/1000</f>
        <v>10.29</v>
      </c>
      <c r="J268">
        <f>VLOOKUP(B268,'Grade Formula'!$A$1:$F$7,5,FALSE)*C268*D268/1000</f>
        <v>13.86</v>
      </c>
      <c r="K268">
        <f>VLOOKUP(B268,'Grade Formula'!$A$1:$F$7,3,FALSE)*C268*D268/1000</f>
        <v>0</v>
      </c>
      <c r="L268">
        <f t="shared" si="9"/>
        <v>19</v>
      </c>
    </row>
    <row r="269" spans="1:12" x14ac:dyDescent="0.3">
      <c r="A269" s="1">
        <v>45787</v>
      </c>
      <c r="B269" t="s">
        <v>4</v>
      </c>
      <c r="C269" s="3">
        <v>6</v>
      </c>
      <c r="D269" s="3">
        <v>14</v>
      </c>
      <c r="E269" s="3">
        <f t="shared" si="8"/>
        <v>84</v>
      </c>
      <c r="F269" s="3" t="s">
        <v>144</v>
      </c>
      <c r="G269">
        <f>VLOOKUP(B269,'Grade Formula'!$A$1:$F$7,2,FALSE)*C269*D269/1000</f>
        <v>21</v>
      </c>
      <c r="H269">
        <f>VLOOKUP(B269,'Grade Formula'!$A$1:$F$7,4,FALSE)*C269*D269/1000</f>
        <v>68.543999999999997</v>
      </c>
      <c r="I269">
        <f>VLOOKUP(B269,'Grade Formula'!$A$1:$F$7,6,FALSE)*C269*D269/1000</f>
        <v>40.152000000000001</v>
      </c>
      <c r="J269">
        <f>VLOOKUP(B269,'Grade Formula'!$A$1:$F$7,5,FALSE)*C269*D269/1000</f>
        <v>49.223999999999997</v>
      </c>
      <c r="K269">
        <f>VLOOKUP(B269,'Grade Formula'!$A$1:$F$7,3,FALSE)*C269*D269/1000</f>
        <v>9.24</v>
      </c>
      <c r="L269">
        <f t="shared" si="9"/>
        <v>19</v>
      </c>
    </row>
    <row r="270" spans="1:12" x14ac:dyDescent="0.3">
      <c r="A270" s="1">
        <v>45787</v>
      </c>
      <c r="B270" t="s">
        <v>7</v>
      </c>
      <c r="C270" s="3">
        <v>7</v>
      </c>
      <c r="D270" s="3">
        <v>2</v>
      </c>
      <c r="E270" s="3">
        <f t="shared" si="8"/>
        <v>14</v>
      </c>
      <c r="F270" s="3" t="s">
        <v>144</v>
      </c>
      <c r="G270">
        <f>VLOOKUP(B270,'Grade Formula'!$A$1:$F$7,2,FALSE)*C270*D270/1000</f>
        <v>2.94</v>
      </c>
      <c r="H270">
        <f>VLOOKUP(B270,'Grade Formula'!$A$1:$F$7,4,FALSE)*C270*D270/1000</f>
        <v>10.821999999999999</v>
      </c>
      <c r="I270">
        <f>VLOOKUP(B270,'Grade Formula'!$A$1:$F$7,6,FALSE)*C270*D270/1000</f>
        <v>6.86</v>
      </c>
      <c r="J270">
        <f>VLOOKUP(B270,'Grade Formula'!$A$1:$F$7,5,FALSE)*C270*D270/1000</f>
        <v>9.24</v>
      </c>
      <c r="K270">
        <f>VLOOKUP(B270,'Grade Formula'!$A$1:$F$7,3,FALSE)*C270*D270/1000</f>
        <v>0</v>
      </c>
      <c r="L270">
        <f t="shared" si="9"/>
        <v>19</v>
      </c>
    </row>
    <row r="271" spans="1:12" x14ac:dyDescent="0.3">
      <c r="A271" s="1">
        <v>45787</v>
      </c>
      <c r="B271" t="s">
        <v>7</v>
      </c>
      <c r="C271" s="3">
        <v>6</v>
      </c>
      <c r="D271" s="3">
        <v>1</v>
      </c>
      <c r="E271" s="3">
        <f t="shared" si="8"/>
        <v>6</v>
      </c>
      <c r="F271" s="3" t="s">
        <v>144</v>
      </c>
      <c r="G271">
        <f>VLOOKUP(B271,'Grade Formula'!$A$1:$F$7,2,FALSE)*C271*D271/1000</f>
        <v>1.26</v>
      </c>
      <c r="H271">
        <f>VLOOKUP(B271,'Grade Formula'!$A$1:$F$7,4,FALSE)*C271*D271/1000</f>
        <v>4.6379999999999999</v>
      </c>
      <c r="I271">
        <f>VLOOKUP(B271,'Grade Formula'!$A$1:$F$7,6,FALSE)*C271*D271/1000</f>
        <v>2.94</v>
      </c>
      <c r="J271">
        <f>VLOOKUP(B271,'Grade Formula'!$A$1:$F$7,5,FALSE)*C271*D271/1000</f>
        <v>3.96</v>
      </c>
      <c r="K271">
        <f>VLOOKUP(B271,'Grade Formula'!$A$1:$F$7,3,FALSE)*C271*D271/1000</f>
        <v>0</v>
      </c>
      <c r="L271">
        <f t="shared" si="9"/>
        <v>19</v>
      </c>
    </row>
    <row r="272" spans="1:12" x14ac:dyDescent="0.3">
      <c r="A272" s="1">
        <v>45788</v>
      </c>
      <c r="B272" t="s">
        <v>7</v>
      </c>
      <c r="C272" s="3">
        <v>7</v>
      </c>
      <c r="D272" s="3">
        <v>2</v>
      </c>
      <c r="E272" s="3">
        <f t="shared" si="8"/>
        <v>14</v>
      </c>
      <c r="F272" s="3" t="s">
        <v>144</v>
      </c>
      <c r="G272">
        <f>VLOOKUP(B272,'Grade Formula'!$A$1:$F$7,2,FALSE)*C272*D272/1000</f>
        <v>2.94</v>
      </c>
      <c r="H272">
        <f>VLOOKUP(B272,'Grade Formula'!$A$1:$F$7,4,FALSE)*C272*D272/1000</f>
        <v>10.821999999999999</v>
      </c>
      <c r="I272">
        <f>VLOOKUP(B272,'Grade Formula'!$A$1:$F$7,6,FALSE)*C272*D272/1000</f>
        <v>6.86</v>
      </c>
      <c r="J272">
        <f>VLOOKUP(B272,'Grade Formula'!$A$1:$F$7,5,FALSE)*C272*D272/1000</f>
        <v>9.24</v>
      </c>
      <c r="K272">
        <f>VLOOKUP(B272,'Grade Formula'!$A$1:$F$7,3,FALSE)*C272*D272/1000</f>
        <v>0</v>
      </c>
      <c r="L272">
        <f t="shared" si="9"/>
        <v>20</v>
      </c>
    </row>
    <row r="273" spans="1:12" x14ac:dyDescent="0.3">
      <c r="A273" s="1">
        <v>45788</v>
      </c>
      <c r="B273" t="s">
        <v>4</v>
      </c>
      <c r="C273" s="3">
        <v>6</v>
      </c>
      <c r="D273" s="3">
        <v>12</v>
      </c>
      <c r="E273" s="3">
        <f t="shared" si="8"/>
        <v>72</v>
      </c>
      <c r="F273" s="3" t="s">
        <v>144</v>
      </c>
      <c r="G273">
        <f>VLOOKUP(B273,'Grade Formula'!$A$1:$F$7,2,FALSE)*C273*D273/1000</f>
        <v>18</v>
      </c>
      <c r="H273">
        <f>VLOOKUP(B273,'Grade Formula'!$A$1:$F$7,4,FALSE)*C273*D273/1000</f>
        <v>58.752000000000002</v>
      </c>
      <c r="I273">
        <f>VLOOKUP(B273,'Grade Formula'!$A$1:$F$7,6,FALSE)*C273*D273/1000</f>
        <v>34.415999999999997</v>
      </c>
      <c r="J273">
        <f>VLOOKUP(B273,'Grade Formula'!$A$1:$F$7,5,FALSE)*C273*D273/1000</f>
        <v>42.192</v>
      </c>
      <c r="K273">
        <f>VLOOKUP(B273,'Grade Formula'!$A$1:$F$7,3,FALSE)*C273*D273/1000</f>
        <v>7.92</v>
      </c>
      <c r="L273">
        <f t="shared" si="9"/>
        <v>20</v>
      </c>
    </row>
    <row r="274" spans="1:12" x14ac:dyDescent="0.3">
      <c r="A274" s="1">
        <v>45789</v>
      </c>
      <c r="B274" t="s">
        <v>4</v>
      </c>
      <c r="C274" s="3">
        <v>6</v>
      </c>
      <c r="D274" s="3">
        <v>8</v>
      </c>
      <c r="E274" s="3">
        <f t="shared" si="8"/>
        <v>48</v>
      </c>
      <c r="F274" s="3" t="s">
        <v>144</v>
      </c>
      <c r="G274">
        <f>VLOOKUP(B274,'Grade Formula'!$A$1:$F$7,2,FALSE)*C274*D274/1000</f>
        <v>12</v>
      </c>
      <c r="H274">
        <f>VLOOKUP(B274,'Grade Formula'!$A$1:$F$7,4,FALSE)*C274*D274/1000</f>
        <v>39.167999999999999</v>
      </c>
      <c r="I274">
        <f>VLOOKUP(B274,'Grade Formula'!$A$1:$F$7,6,FALSE)*C274*D274/1000</f>
        <v>22.943999999999999</v>
      </c>
      <c r="J274">
        <f>VLOOKUP(B274,'Grade Formula'!$A$1:$F$7,5,FALSE)*C274*D274/1000</f>
        <v>28.128</v>
      </c>
      <c r="K274">
        <f>VLOOKUP(B274,'Grade Formula'!$A$1:$F$7,3,FALSE)*C274*D274/1000</f>
        <v>5.28</v>
      </c>
      <c r="L274">
        <f t="shared" si="9"/>
        <v>20</v>
      </c>
    </row>
    <row r="275" spans="1:12" x14ac:dyDescent="0.3">
      <c r="A275" s="1">
        <v>45789</v>
      </c>
      <c r="B275" t="s">
        <v>7</v>
      </c>
      <c r="C275" s="3">
        <v>7</v>
      </c>
      <c r="D275" s="3">
        <v>3</v>
      </c>
      <c r="E275" s="3">
        <f t="shared" si="8"/>
        <v>21</v>
      </c>
      <c r="F275" s="3" t="s">
        <v>144</v>
      </c>
      <c r="G275">
        <f>VLOOKUP(B275,'Grade Formula'!$A$1:$F$7,2,FALSE)*C275*D275/1000</f>
        <v>4.41</v>
      </c>
      <c r="H275">
        <f>VLOOKUP(B275,'Grade Formula'!$A$1:$F$7,4,FALSE)*C275*D275/1000</f>
        <v>16.233000000000001</v>
      </c>
      <c r="I275">
        <f>VLOOKUP(B275,'Grade Formula'!$A$1:$F$7,6,FALSE)*C275*D275/1000</f>
        <v>10.29</v>
      </c>
      <c r="J275">
        <f>VLOOKUP(B275,'Grade Formula'!$A$1:$F$7,5,FALSE)*C275*D275/1000</f>
        <v>13.86</v>
      </c>
      <c r="K275">
        <f>VLOOKUP(B275,'Grade Formula'!$A$1:$F$7,3,FALSE)*C275*D275/1000</f>
        <v>0</v>
      </c>
      <c r="L275">
        <f t="shared" si="9"/>
        <v>20</v>
      </c>
    </row>
    <row r="276" spans="1:12" x14ac:dyDescent="0.3">
      <c r="A276" s="1">
        <v>45789</v>
      </c>
      <c r="B276" t="s">
        <v>6</v>
      </c>
      <c r="C276" s="3">
        <v>7</v>
      </c>
      <c r="D276" s="3">
        <v>1</v>
      </c>
      <c r="E276" s="3">
        <f t="shared" si="8"/>
        <v>7</v>
      </c>
      <c r="F276" s="3" t="s">
        <v>103</v>
      </c>
      <c r="G276">
        <f>VLOOKUP(B276,'Grade Formula'!$A$1:$F$7,2,FALSE)*C276*D276/1000</f>
        <v>1.82</v>
      </c>
      <c r="H276">
        <f>VLOOKUP(B276,'Grade Formula'!$A$1:$F$7,4,FALSE)*C276*D276/1000</f>
        <v>5.0190000000000001</v>
      </c>
      <c r="I276">
        <f>VLOOKUP(B276,'Grade Formula'!$A$1:$F$7,6,FALSE)*C276*D276/1000</f>
        <v>3.36</v>
      </c>
      <c r="J276">
        <f>VLOOKUP(B276,'Grade Formula'!$A$1:$F$7,5,FALSE)*C276*D276/1000</f>
        <v>4.41</v>
      </c>
      <c r="K276">
        <f>VLOOKUP(B276,'Grade Formula'!$A$1:$F$7,3,FALSE)*C276*D276/1000</f>
        <v>0</v>
      </c>
      <c r="L276">
        <f t="shared" si="9"/>
        <v>20</v>
      </c>
    </row>
    <row r="277" spans="1:12" x14ac:dyDescent="0.3">
      <c r="A277" s="1">
        <v>45789</v>
      </c>
      <c r="B277" t="s">
        <v>6</v>
      </c>
      <c r="C277" s="3">
        <v>6</v>
      </c>
      <c r="D277" s="3">
        <v>1</v>
      </c>
      <c r="E277" s="3">
        <f t="shared" si="8"/>
        <v>6</v>
      </c>
      <c r="F277" s="3" t="s">
        <v>103</v>
      </c>
      <c r="G277">
        <f>VLOOKUP(B277,'Grade Formula'!$A$1:$F$7,2,FALSE)*C277*D277/1000</f>
        <v>1.56</v>
      </c>
      <c r="H277">
        <f>VLOOKUP(B277,'Grade Formula'!$A$1:$F$7,4,FALSE)*C277*D277/1000</f>
        <v>4.3019999999999996</v>
      </c>
      <c r="I277">
        <f>VLOOKUP(B277,'Grade Formula'!$A$1:$F$7,6,FALSE)*C277*D277/1000</f>
        <v>2.88</v>
      </c>
      <c r="J277">
        <f>VLOOKUP(B277,'Grade Formula'!$A$1:$F$7,5,FALSE)*C277*D277/1000</f>
        <v>3.78</v>
      </c>
      <c r="K277">
        <f>VLOOKUP(B277,'Grade Formula'!$A$1:$F$7,3,FALSE)*C277*D277/1000</f>
        <v>0</v>
      </c>
      <c r="L277">
        <f t="shared" si="9"/>
        <v>20</v>
      </c>
    </row>
    <row r="278" spans="1:12" x14ac:dyDescent="0.3">
      <c r="A278" s="1">
        <v>45790</v>
      </c>
      <c r="B278" t="s">
        <v>3</v>
      </c>
      <c r="C278" s="3">
        <v>7</v>
      </c>
      <c r="D278" s="3">
        <v>1</v>
      </c>
      <c r="E278" s="3">
        <f t="shared" si="8"/>
        <v>7</v>
      </c>
      <c r="F278" s="3" t="s">
        <v>135</v>
      </c>
      <c r="G278">
        <f>VLOOKUP(B278,'Grade Formula'!$A$1:$F$7,2,FALSE)*C278*D278/1000</f>
        <v>1.61</v>
      </c>
      <c r="H278">
        <f>VLOOKUP(B278,'Grade Formula'!$A$1:$F$7,4,FALSE)*C278*D278/1000</f>
        <v>4.7039999999999997</v>
      </c>
      <c r="I278">
        <f>VLOOKUP(B278,'Grade Formula'!$A$1:$F$7,6,FALSE)*C278*D278/1000</f>
        <v>3.29</v>
      </c>
      <c r="J278">
        <f>VLOOKUP(B278,'Grade Formula'!$A$1:$F$7,5,FALSE)*C278*D278/1000</f>
        <v>4.165</v>
      </c>
      <c r="K278">
        <f>VLOOKUP(B278,'Grade Formula'!$A$1:$F$7,3,FALSE)*C278*D278/1000</f>
        <v>0.7</v>
      </c>
      <c r="L278">
        <f t="shared" si="9"/>
        <v>20</v>
      </c>
    </row>
    <row r="279" spans="1:12" x14ac:dyDescent="0.3">
      <c r="A279" s="1">
        <v>45790</v>
      </c>
      <c r="B279" t="s">
        <v>3</v>
      </c>
      <c r="C279" s="3">
        <v>7</v>
      </c>
      <c r="D279" s="3">
        <v>6</v>
      </c>
      <c r="E279" s="3">
        <f t="shared" si="8"/>
        <v>42</v>
      </c>
      <c r="F279" s="3" t="s">
        <v>99</v>
      </c>
      <c r="G279">
        <f>VLOOKUP(B279,'Grade Formula'!$A$1:$F$7,2,FALSE)*C279*D279/1000</f>
        <v>9.66</v>
      </c>
      <c r="H279">
        <f>VLOOKUP(B279,'Grade Formula'!$A$1:$F$7,4,FALSE)*C279*D279/1000</f>
        <v>28.224</v>
      </c>
      <c r="I279">
        <f>VLOOKUP(B279,'Grade Formula'!$A$1:$F$7,6,FALSE)*C279*D279/1000</f>
        <v>19.739999999999998</v>
      </c>
      <c r="J279">
        <f>VLOOKUP(B279,'Grade Formula'!$A$1:$F$7,5,FALSE)*C279*D279/1000</f>
        <v>24.99</v>
      </c>
      <c r="K279">
        <f>VLOOKUP(B279,'Grade Formula'!$A$1:$F$7,3,FALSE)*C279*D279/1000</f>
        <v>4.2</v>
      </c>
      <c r="L279">
        <f t="shared" si="9"/>
        <v>20</v>
      </c>
    </row>
    <row r="280" spans="1:12" x14ac:dyDescent="0.3">
      <c r="A280" s="1">
        <v>45790</v>
      </c>
      <c r="B280" t="s">
        <v>3</v>
      </c>
      <c r="C280" s="3">
        <v>6.5</v>
      </c>
      <c r="D280" s="3">
        <v>1</v>
      </c>
      <c r="E280" s="3">
        <f t="shared" si="8"/>
        <v>6.5</v>
      </c>
      <c r="F280" s="3" t="s">
        <v>99</v>
      </c>
      <c r="G280">
        <f>VLOOKUP(B280,'Grade Formula'!$A$1:$F$7,2,FALSE)*C280*D280/1000</f>
        <v>1.4950000000000001</v>
      </c>
      <c r="H280">
        <f>VLOOKUP(B280,'Grade Formula'!$A$1:$F$7,4,FALSE)*C280*D280/1000</f>
        <v>4.3680000000000003</v>
      </c>
      <c r="I280">
        <f>VLOOKUP(B280,'Grade Formula'!$A$1:$F$7,6,FALSE)*C280*D280/1000</f>
        <v>3.0550000000000002</v>
      </c>
      <c r="J280">
        <f>VLOOKUP(B280,'Grade Formula'!$A$1:$F$7,5,FALSE)*C280*D280/1000</f>
        <v>3.8675000000000002</v>
      </c>
      <c r="K280">
        <f>VLOOKUP(B280,'Grade Formula'!$A$1:$F$7,3,FALSE)*C280*D280/1000</f>
        <v>0.65</v>
      </c>
      <c r="L280">
        <f t="shared" si="9"/>
        <v>20</v>
      </c>
    </row>
    <row r="281" spans="1:12" x14ac:dyDescent="0.3">
      <c r="A281" s="1">
        <v>45790</v>
      </c>
      <c r="B281" t="s">
        <v>3</v>
      </c>
      <c r="C281" s="3">
        <v>5</v>
      </c>
      <c r="D281" s="3">
        <v>1</v>
      </c>
      <c r="E281" s="3">
        <f t="shared" si="8"/>
        <v>5</v>
      </c>
      <c r="F281" s="3" t="s">
        <v>135</v>
      </c>
      <c r="G281">
        <f>VLOOKUP(B281,'Grade Formula'!$A$1:$F$7,2,FALSE)*C281*D281/1000</f>
        <v>1.1499999999999999</v>
      </c>
      <c r="H281">
        <f>VLOOKUP(B281,'Grade Formula'!$A$1:$F$7,4,FALSE)*C281*D281/1000</f>
        <v>3.36</v>
      </c>
      <c r="I281">
        <f>VLOOKUP(B281,'Grade Formula'!$A$1:$F$7,6,FALSE)*C281*D281/1000</f>
        <v>2.35</v>
      </c>
      <c r="J281">
        <f>VLOOKUP(B281,'Grade Formula'!$A$1:$F$7,5,FALSE)*C281*D281/1000</f>
        <v>2.9750000000000001</v>
      </c>
      <c r="K281">
        <f>VLOOKUP(B281,'Grade Formula'!$A$1:$F$7,3,FALSE)*C281*D281/1000</f>
        <v>0.5</v>
      </c>
      <c r="L281">
        <f t="shared" si="9"/>
        <v>20</v>
      </c>
    </row>
    <row r="282" spans="1:12" x14ac:dyDescent="0.3">
      <c r="A282" s="1">
        <v>45790</v>
      </c>
      <c r="B282" t="s">
        <v>4</v>
      </c>
      <c r="C282" s="3">
        <v>6</v>
      </c>
      <c r="D282" s="3">
        <v>11</v>
      </c>
      <c r="E282" s="3">
        <f t="shared" si="8"/>
        <v>66</v>
      </c>
      <c r="F282" s="3" t="s">
        <v>144</v>
      </c>
      <c r="G282">
        <f>VLOOKUP(B282,'Grade Formula'!$A$1:$F$7,2,FALSE)*C282*D282/1000</f>
        <v>16.5</v>
      </c>
      <c r="H282">
        <f>VLOOKUP(B282,'Grade Formula'!$A$1:$F$7,4,FALSE)*C282*D282/1000</f>
        <v>53.856000000000002</v>
      </c>
      <c r="I282">
        <f>VLOOKUP(B282,'Grade Formula'!$A$1:$F$7,6,FALSE)*C282*D282/1000</f>
        <v>31.547999999999998</v>
      </c>
      <c r="J282">
        <f>VLOOKUP(B282,'Grade Formula'!$A$1:$F$7,5,FALSE)*C282*D282/1000</f>
        <v>38.676000000000002</v>
      </c>
      <c r="K282">
        <f>VLOOKUP(B282,'Grade Formula'!$A$1:$F$7,3,FALSE)*C282*D282/1000</f>
        <v>7.26</v>
      </c>
      <c r="L282">
        <f t="shared" si="9"/>
        <v>20</v>
      </c>
    </row>
    <row r="283" spans="1:12" x14ac:dyDescent="0.3">
      <c r="A283" s="1">
        <v>45790</v>
      </c>
      <c r="B283" t="s">
        <v>4</v>
      </c>
      <c r="C283" s="3">
        <v>7</v>
      </c>
      <c r="D283" s="3">
        <v>2</v>
      </c>
      <c r="E283" s="3">
        <f t="shared" si="8"/>
        <v>14</v>
      </c>
      <c r="F283" s="3" t="s">
        <v>103</v>
      </c>
      <c r="G283">
        <f>VLOOKUP(B283,'Grade Formula'!$A$1:$F$7,2,FALSE)*C283*D283/1000</f>
        <v>3.5</v>
      </c>
      <c r="H283">
        <f>VLOOKUP(B283,'Grade Formula'!$A$1:$F$7,4,FALSE)*C283*D283/1000</f>
        <v>11.423999999999999</v>
      </c>
      <c r="I283">
        <f>VLOOKUP(B283,'Grade Formula'!$A$1:$F$7,6,FALSE)*C283*D283/1000</f>
        <v>6.6920000000000002</v>
      </c>
      <c r="J283">
        <f>VLOOKUP(B283,'Grade Formula'!$A$1:$F$7,5,FALSE)*C283*D283/1000</f>
        <v>8.2040000000000006</v>
      </c>
      <c r="K283">
        <f>VLOOKUP(B283,'Grade Formula'!$A$1:$F$7,3,FALSE)*C283*D283/1000</f>
        <v>1.54</v>
      </c>
      <c r="L283">
        <f t="shared" si="9"/>
        <v>20</v>
      </c>
    </row>
    <row r="284" spans="1:12" x14ac:dyDescent="0.3">
      <c r="A284" s="1">
        <v>45790</v>
      </c>
      <c r="B284" t="s">
        <v>6</v>
      </c>
      <c r="C284" s="3">
        <v>6</v>
      </c>
      <c r="D284" s="3">
        <v>2</v>
      </c>
      <c r="E284" s="3">
        <f t="shared" si="8"/>
        <v>12</v>
      </c>
      <c r="F284" s="3" t="s">
        <v>103</v>
      </c>
      <c r="G284">
        <f>VLOOKUP(B284,'Grade Formula'!$A$1:$F$7,2,FALSE)*C284*D284/1000</f>
        <v>3.12</v>
      </c>
      <c r="H284">
        <f>VLOOKUP(B284,'Grade Formula'!$A$1:$F$7,4,FALSE)*C284*D284/1000</f>
        <v>8.6039999999999992</v>
      </c>
      <c r="I284">
        <f>VLOOKUP(B284,'Grade Formula'!$A$1:$F$7,6,FALSE)*C284*D284/1000</f>
        <v>5.76</v>
      </c>
      <c r="J284">
        <f>VLOOKUP(B284,'Grade Formula'!$A$1:$F$7,5,FALSE)*C284*D284/1000</f>
        <v>7.56</v>
      </c>
      <c r="K284">
        <f>VLOOKUP(B284,'Grade Formula'!$A$1:$F$7,3,FALSE)*C284*D284/1000</f>
        <v>0</v>
      </c>
      <c r="L284">
        <f t="shared" si="9"/>
        <v>20</v>
      </c>
    </row>
    <row r="285" spans="1:12" x14ac:dyDescent="0.3">
      <c r="A285" s="1">
        <v>45790</v>
      </c>
      <c r="B285" t="s">
        <v>5</v>
      </c>
      <c r="C285" s="3">
        <v>7</v>
      </c>
      <c r="D285" s="3">
        <v>2</v>
      </c>
      <c r="E285" s="3">
        <f t="shared" si="8"/>
        <v>14</v>
      </c>
      <c r="F285" s="3" t="s">
        <v>111</v>
      </c>
      <c r="G285">
        <f>VLOOKUP(B285,'Grade Formula'!$A$1:$F$7,2,FALSE)*C285*D285/1000</f>
        <v>4.4800000000000004</v>
      </c>
      <c r="H285">
        <f>VLOOKUP(B285,'Grade Formula'!$A$1:$F$7,4,FALSE)*C285*D285/1000</f>
        <v>8.7919999999999998</v>
      </c>
      <c r="I285">
        <f>VLOOKUP(B285,'Grade Formula'!$A$1:$F$7,6,FALSE)*C285*D285/1000</f>
        <v>6.58</v>
      </c>
      <c r="J285">
        <f>VLOOKUP(B285,'Grade Formula'!$A$1:$F$7,5,FALSE)*C285*D285/1000</f>
        <v>8.4</v>
      </c>
      <c r="K285">
        <f>VLOOKUP(B285,'Grade Formula'!$A$1:$F$7,3,FALSE)*C285*D285/1000</f>
        <v>1.1200000000000001</v>
      </c>
      <c r="L285">
        <f t="shared" si="9"/>
        <v>20</v>
      </c>
    </row>
    <row r="286" spans="1:12" x14ac:dyDescent="0.3">
      <c r="A286" s="1">
        <v>45791</v>
      </c>
      <c r="B286" t="s">
        <v>4</v>
      </c>
      <c r="C286" s="3">
        <v>7</v>
      </c>
      <c r="D286" s="3">
        <v>1</v>
      </c>
      <c r="E286" s="3">
        <f t="shared" si="8"/>
        <v>7</v>
      </c>
      <c r="F286" s="3" t="s">
        <v>144</v>
      </c>
      <c r="G286">
        <f>VLOOKUP(B286,'Grade Formula'!$A$1:$F$7,2,FALSE)*C286*D286/1000</f>
        <v>1.75</v>
      </c>
      <c r="H286">
        <f>VLOOKUP(B286,'Grade Formula'!$A$1:$F$7,4,FALSE)*C286*D286/1000</f>
        <v>5.7119999999999997</v>
      </c>
      <c r="I286">
        <f>VLOOKUP(B286,'Grade Formula'!$A$1:$F$7,6,FALSE)*C286*D286/1000</f>
        <v>3.3460000000000001</v>
      </c>
      <c r="J286">
        <f>VLOOKUP(B286,'Grade Formula'!$A$1:$F$7,5,FALSE)*C286*D286/1000</f>
        <v>4.1020000000000003</v>
      </c>
      <c r="K286">
        <f>VLOOKUP(B286,'Grade Formula'!$A$1:$F$7,3,FALSE)*C286*D286/1000</f>
        <v>0.77</v>
      </c>
      <c r="L286">
        <f t="shared" si="9"/>
        <v>20</v>
      </c>
    </row>
    <row r="287" spans="1:12" x14ac:dyDescent="0.3">
      <c r="A287" s="1">
        <v>45791</v>
      </c>
      <c r="B287" t="s">
        <v>4</v>
      </c>
      <c r="C287" s="3">
        <v>6</v>
      </c>
      <c r="D287" s="3">
        <v>1</v>
      </c>
      <c r="E287" s="3">
        <f t="shared" si="8"/>
        <v>6</v>
      </c>
      <c r="F287" s="3" t="s">
        <v>144</v>
      </c>
      <c r="G287">
        <f>VLOOKUP(B287,'Grade Formula'!$A$1:$F$7,2,FALSE)*C287*D287/1000</f>
        <v>1.5</v>
      </c>
      <c r="H287">
        <f>VLOOKUP(B287,'Grade Formula'!$A$1:$F$7,4,FALSE)*C287*D287/1000</f>
        <v>4.8959999999999999</v>
      </c>
      <c r="I287">
        <f>VLOOKUP(B287,'Grade Formula'!$A$1:$F$7,6,FALSE)*C287*D287/1000</f>
        <v>2.8679999999999999</v>
      </c>
      <c r="J287">
        <f>VLOOKUP(B287,'Grade Formula'!$A$1:$F$7,5,FALSE)*C287*D287/1000</f>
        <v>3.516</v>
      </c>
      <c r="K287">
        <f>VLOOKUP(B287,'Grade Formula'!$A$1:$F$7,3,FALSE)*C287*D287/1000</f>
        <v>0.66</v>
      </c>
      <c r="L287">
        <f t="shared" si="9"/>
        <v>20</v>
      </c>
    </row>
    <row r="288" spans="1:12" x14ac:dyDescent="0.3">
      <c r="A288" s="1">
        <v>45791</v>
      </c>
      <c r="B288" t="s">
        <v>4</v>
      </c>
      <c r="C288" s="3">
        <v>6</v>
      </c>
      <c r="D288" s="3">
        <v>4</v>
      </c>
      <c r="E288" s="3">
        <f t="shared" si="8"/>
        <v>24</v>
      </c>
      <c r="F288" s="3" t="s">
        <v>103</v>
      </c>
      <c r="G288">
        <f>VLOOKUP(B288,'Grade Formula'!$A$1:$F$7,2,FALSE)*C288*D288/1000</f>
        <v>6</v>
      </c>
      <c r="H288">
        <f>VLOOKUP(B288,'Grade Formula'!$A$1:$F$7,4,FALSE)*C288*D288/1000</f>
        <v>19.584</v>
      </c>
      <c r="I288">
        <f>VLOOKUP(B288,'Grade Formula'!$A$1:$F$7,6,FALSE)*C288*D288/1000</f>
        <v>11.472</v>
      </c>
      <c r="J288">
        <f>VLOOKUP(B288,'Grade Formula'!$A$1:$F$7,5,FALSE)*C288*D288/1000</f>
        <v>14.064</v>
      </c>
      <c r="K288">
        <f>VLOOKUP(B288,'Grade Formula'!$A$1:$F$7,3,FALSE)*C288*D288/1000</f>
        <v>2.64</v>
      </c>
      <c r="L288">
        <f t="shared" si="9"/>
        <v>20</v>
      </c>
    </row>
    <row r="289" spans="1:12" x14ac:dyDescent="0.3">
      <c r="A289" s="1">
        <v>45791</v>
      </c>
      <c r="B289" t="s">
        <v>5</v>
      </c>
      <c r="C289" s="3">
        <v>5</v>
      </c>
      <c r="D289" s="3">
        <v>1</v>
      </c>
      <c r="E289" s="3">
        <f t="shared" si="8"/>
        <v>5</v>
      </c>
      <c r="F289" s="3" t="s">
        <v>119</v>
      </c>
      <c r="G289">
        <f>VLOOKUP(B289,'Grade Formula'!$A$1:$F$7,2,FALSE)*C289*D289/1000</f>
        <v>1.6</v>
      </c>
      <c r="H289">
        <f>VLOOKUP(B289,'Grade Formula'!$A$1:$F$7,4,FALSE)*C289*D289/1000</f>
        <v>3.14</v>
      </c>
      <c r="I289">
        <f>VLOOKUP(B289,'Grade Formula'!$A$1:$F$7,6,FALSE)*C289*D289/1000</f>
        <v>2.35</v>
      </c>
      <c r="J289">
        <f>VLOOKUP(B289,'Grade Formula'!$A$1:$F$7,5,FALSE)*C289*D289/1000</f>
        <v>3</v>
      </c>
      <c r="K289">
        <f>VLOOKUP(B289,'Grade Formula'!$A$1:$F$7,3,FALSE)*C289*D289/1000</f>
        <v>0.4</v>
      </c>
      <c r="L289">
        <f t="shared" si="9"/>
        <v>20</v>
      </c>
    </row>
    <row r="290" spans="1:12" x14ac:dyDescent="0.3">
      <c r="A290" s="1">
        <v>45791</v>
      </c>
      <c r="B290" t="s">
        <v>5</v>
      </c>
      <c r="C290" s="3">
        <v>1.5</v>
      </c>
      <c r="D290" s="3">
        <v>1</v>
      </c>
      <c r="E290" s="3">
        <f t="shared" si="8"/>
        <v>1.5</v>
      </c>
      <c r="F290" s="3" t="s">
        <v>119</v>
      </c>
      <c r="G290">
        <f>VLOOKUP(B290,'Grade Formula'!$A$1:$F$7,2,FALSE)*C290*D290/1000</f>
        <v>0.48</v>
      </c>
      <c r="H290">
        <f>VLOOKUP(B290,'Grade Formula'!$A$1:$F$7,4,FALSE)*C290*D290/1000</f>
        <v>0.94199999999999995</v>
      </c>
      <c r="I290">
        <f>VLOOKUP(B290,'Grade Formula'!$A$1:$F$7,6,FALSE)*C290*D290/1000</f>
        <v>0.70499999999999996</v>
      </c>
      <c r="J290">
        <f>VLOOKUP(B290,'Grade Formula'!$A$1:$F$7,5,FALSE)*C290*D290/1000</f>
        <v>0.9</v>
      </c>
      <c r="K290">
        <f>VLOOKUP(B290,'Grade Formula'!$A$1:$F$7,3,FALSE)*C290*D290/1000</f>
        <v>0.12</v>
      </c>
      <c r="L290">
        <f t="shared" si="9"/>
        <v>20</v>
      </c>
    </row>
    <row r="291" spans="1:12" x14ac:dyDescent="0.3">
      <c r="A291" s="1">
        <v>45792</v>
      </c>
      <c r="B291" t="s">
        <v>4</v>
      </c>
      <c r="C291" s="3">
        <v>6</v>
      </c>
      <c r="D291" s="3">
        <v>6</v>
      </c>
      <c r="E291" s="3">
        <f t="shared" si="8"/>
        <v>36</v>
      </c>
      <c r="F291" s="3" t="s">
        <v>103</v>
      </c>
      <c r="G291">
        <f>VLOOKUP(B291,'Grade Formula'!$A$1:$F$7,2,FALSE)*C291*D291/1000</f>
        <v>9</v>
      </c>
      <c r="H291">
        <f>VLOOKUP(B291,'Grade Formula'!$A$1:$F$7,4,FALSE)*C291*D291/1000</f>
        <v>29.376000000000001</v>
      </c>
      <c r="I291">
        <f>VLOOKUP(B291,'Grade Formula'!$A$1:$F$7,6,FALSE)*C291*D291/1000</f>
        <v>17.207999999999998</v>
      </c>
      <c r="J291">
        <f>VLOOKUP(B291,'Grade Formula'!$A$1:$F$7,5,FALSE)*C291*D291/1000</f>
        <v>21.096</v>
      </c>
      <c r="K291">
        <f>VLOOKUP(B291,'Grade Formula'!$A$1:$F$7,3,FALSE)*C291*D291/1000</f>
        <v>3.96</v>
      </c>
      <c r="L291">
        <f t="shared" si="9"/>
        <v>20</v>
      </c>
    </row>
    <row r="292" spans="1:12" x14ac:dyDescent="0.3">
      <c r="A292" s="1">
        <v>45793</v>
      </c>
      <c r="B292" t="s">
        <v>4</v>
      </c>
      <c r="C292" s="3">
        <v>6</v>
      </c>
      <c r="D292" s="3">
        <v>1</v>
      </c>
      <c r="E292" s="3">
        <f t="shared" si="8"/>
        <v>6</v>
      </c>
      <c r="F292" s="3" t="s">
        <v>103</v>
      </c>
      <c r="G292">
        <f>VLOOKUP(B292,'Grade Formula'!$A$1:$F$7,2,FALSE)*C292*D292/1000</f>
        <v>1.5</v>
      </c>
      <c r="H292">
        <f>VLOOKUP(B292,'Grade Formula'!$A$1:$F$7,4,FALSE)*C292*D292/1000</f>
        <v>4.8959999999999999</v>
      </c>
      <c r="I292">
        <f>VLOOKUP(B292,'Grade Formula'!$A$1:$F$7,6,FALSE)*C292*D292/1000</f>
        <v>2.8679999999999999</v>
      </c>
      <c r="J292">
        <f>VLOOKUP(B292,'Grade Formula'!$A$1:$F$7,5,FALSE)*C292*D292/1000</f>
        <v>3.516</v>
      </c>
      <c r="K292">
        <f>VLOOKUP(B292,'Grade Formula'!$A$1:$F$7,3,FALSE)*C292*D292/1000</f>
        <v>0.66</v>
      </c>
      <c r="L292">
        <f t="shared" si="9"/>
        <v>20</v>
      </c>
    </row>
    <row r="293" spans="1:12" x14ac:dyDescent="0.3">
      <c r="A293" s="1">
        <v>45793</v>
      </c>
      <c r="B293" t="s">
        <v>4</v>
      </c>
      <c r="C293" s="3">
        <v>5</v>
      </c>
      <c r="D293" s="3">
        <v>2</v>
      </c>
      <c r="E293" s="3">
        <f t="shared" si="8"/>
        <v>10</v>
      </c>
      <c r="F293" s="3" t="s">
        <v>103</v>
      </c>
      <c r="G293">
        <f>VLOOKUP(B293,'Grade Formula'!$A$1:$F$7,2,FALSE)*C293*D293/1000</f>
        <v>2.5</v>
      </c>
      <c r="H293">
        <f>VLOOKUP(B293,'Grade Formula'!$A$1:$F$7,4,FALSE)*C293*D293/1000</f>
        <v>8.16</v>
      </c>
      <c r="I293">
        <f>VLOOKUP(B293,'Grade Formula'!$A$1:$F$7,6,FALSE)*C293*D293/1000</f>
        <v>4.78</v>
      </c>
      <c r="J293">
        <f>VLOOKUP(B293,'Grade Formula'!$A$1:$F$7,5,FALSE)*C293*D293/1000</f>
        <v>5.86</v>
      </c>
      <c r="K293">
        <f>VLOOKUP(B293,'Grade Formula'!$A$1:$F$7,3,FALSE)*C293*D293/1000</f>
        <v>1.1000000000000001</v>
      </c>
      <c r="L293">
        <f t="shared" si="9"/>
        <v>20</v>
      </c>
    </row>
    <row r="294" spans="1:12" x14ac:dyDescent="0.3">
      <c r="A294" s="1">
        <v>45793</v>
      </c>
      <c r="B294" t="s">
        <v>3</v>
      </c>
      <c r="C294" s="3">
        <v>7</v>
      </c>
      <c r="D294" s="3">
        <v>2</v>
      </c>
      <c r="E294" s="3">
        <f t="shared" si="8"/>
        <v>14</v>
      </c>
      <c r="F294" s="3" t="s">
        <v>144</v>
      </c>
      <c r="G294">
        <f>VLOOKUP(B294,'Grade Formula'!$A$1:$F$7,2,FALSE)*C294*D294/1000</f>
        <v>3.22</v>
      </c>
      <c r="H294">
        <f>VLOOKUP(B294,'Grade Formula'!$A$1:$F$7,4,FALSE)*C294*D294/1000</f>
        <v>9.4079999999999995</v>
      </c>
      <c r="I294">
        <f>VLOOKUP(B294,'Grade Formula'!$A$1:$F$7,6,FALSE)*C294*D294/1000</f>
        <v>6.58</v>
      </c>
      <c r="J294">
        <f>VLOOKUP(B294,'Grade Formula'!$A$1:$F$7,5,FALSE)*C294*D294/1000</f>
        <v>8.33</v>
      </c>
      <c r="K294">
        <f>VLOOKUP(B294,'Grade Formula'!$A$1:$F$7,3,FALSE)*C294*D294/1000</f>
        <v>1.4</v>
      </c>
      <c r="L294">
        <f t="shared" si="9"/>
        <v>20</v>
      </c>
    </row>
    <row r="295" spans="1:12" x14ac:dyDescent="0.3">
      <c r="A295" s="1">
        <v>45793</v>
      </c>
      <c r="B295" t="s">
        <v>3</v>
      </c>
      <c r="C295" s="3">
        <v>6</v>
      </c>
      <c r="D295" s="3">
        <v>3</v>
      </c>
      <c r="E295" s="3">
        <f t="shared" si="8"/>
        <v>18</v>
      </c>
      <c r="F295" s="3" t="s">
        <v>144</v>
      </c>
      <c r="G295">
        <f>VLOOKUP(B295,'Grade Formula'!$A$1:$F$7,2,FALSE)*C295*D295/1000</f>
        <v>4.1399999999999997</v>
      </c>
      <c r="H295">
        <f>VLOOKUP(B295,'Grade Formula'!$A$1:$F$7,4,FALSE)*C295*D295/1000</f>
        <v>12.096</v>
      </c>
      <c r="I295">
        <f>VLOOKUP(B295,'Grade Formula'!$A$1:$F$7,6,FALSE)*C295*D295/1000</f>
        <v>8.4600000000000009</v>
      </c>
      <c r="J295">
        <f>VLOOKUP(B295,'Grade Formula'!$A$1:$F$7,5,FALSE)*C295*D295/1000</f>
        <v>10.71</v>
      </c>
      <c r="K295">
        <f>VLOOKUP(B295,'Grade Formula'!$A$1:$F$7,3,FALSE)*C295*D295/1000</f>
        <v>1.8</v>
      </c>
      <c r="L295">
        <f t="shared" si="9"/>
        <v>20</v>
      </c>
    </row>
    <row r="296" spans="1:12" x14ac:dyDescent="0.3">
      <c r="A296" s="1">
        <v>45794</v>
      </c>
      <c r="B296" t="s">
        <v>4</v>
      </c>
      <c r="C296" s="3">
        <v>6</v>
      </c>
      <c r="D296" s="3">
        <v>12</v>
      </c>
      <c r="E296" s="3">
        <f t="shared" si="8"/>
        <v>72</v>
      </c>
      <c r="F296" s="3" t="s">
        <v>103</v>
      </c>
      <c r="G296">
        <f>VLOOKUP(B296,'Grade Formula'!$A$1:$F$7,2,FALSE)*C296*D296/1000</f>
        <v>18</v>
      </c>
      <c r="H296">
        <f>VLOOKUP(B296,'Grade Formula'!$A$1:$F$7,4,FALSE)*C296*D296/1000</f>
        <v>58.752000000000002</v>
      </c>
      <c r="I296">
        <f>VLOOKUP(B296,'Grade Formula'!$A$1:$F$7,6,FALSE)*C296*D296/1000</f>
        <v>34.415999999999997</v>
      </c>
      <c r="J296">
        <f>VLOOKUP(B296,'Grade Formula'!$A$1:$F$7,5,FALSE)*C296*D296/1000</f>
        <v>42.192</v>
      </c>
      <c r="K296">
        <f>VLOOKUP(B296,'Grade Formula'!$A$1:$F$7,3,FALSE)*C296*D296/1000</f>
        <v>7.92</v>
      </c>
      <c r="L296">
        <f t="shared" si="9"/>
        <v>20</v>
      </c>
    </row>
    <row r="297" spans="1:12" x14ac:dyDescent="0.3">
      <c r="A297" s="1">
        <v>45794</v>
      </c>
      <c r="B297" t="s">
        <v>3</v>
      </c>
      <c r="C297" s="3">
        <v>7</v>
      </c>
      <c r="D297" s="3">
        <v>3</v>
      </c>
      <c r="E297" s="3">
        <f t="shared" si="8"/>
        <v>21</v>
      </c>
      <c r="F297" s="3" t="s">
        <v>102</v>
      </c>
      <c r="G297">
        <f>VLOOKUP(B297,'Grade Formula'!$A$1:$F$7,2,FALSE)*C297*D297/1000</f>
        <v>4.83</v>
      </c>
      <c r="H297">
        <f>VLOOKUP(B297,'Grade Formula'!$A$1:$F$7,4,FALSE)*C297*D297/1000</f>
        <v>14.112</v>
      </c>
      <c r="I297">
        <f>VLOOKUP(B297,'Grade Formula'!$A$1:$F$7,6,FALSE)*C297*D297/1000</f>
        <v>9.8699999999999992</v>
      </c>
      <c r="J297">
        <f>VLOOKUP(B297,'Grade Formula'!$A$1:$F$7,5,FALSE)*C297*D297/1000</f>
        <v>12.494999999999999</v>
      </c>
      <c r="K297">
        <f>VLOOKUP(B297,'Grade Formula'!$A$1:$F$7,3,FALSE)*C297*D297/1000</f>
        <v>2.1</v>
      </c>
      <c r="L297">
        <f t="shared" si="9"/>
        <v>20</v>
      </c>
    </row>
    <row r="298" spans="1:12" x14ac:dyDescent="0.3">
      <c r="A298" s="1">
        <v>45794</v>
      </c>
      <c r="B298" t="s">
        <v>3</v>
      </c>
      <c r="C298" s="3">
        <v>4</v>
      </c>
      <c r="D298" s="3">
        <v>1</v>
      </c>
      <c r="E298" s="3">
        <f t="shared" si="8"/>
        <v>4</v>
      </c>
      <c r="F298" s="3" t="s">
        <v>102</v>
      </c>
      <c r="G298">
        <f>VLOOKUP(B298,'Grade Formula'!$A$1:$F$7,2,FALSE)*C298*D298/1000</f>
        <v>0.92</v>
      </c>
      <c r="H298">
        <f>VLOOKUP(B298,'Grade Formula'!$A$1:$F$7,4,FALSE)*C298*D298/1000</f>
        <v>2.6880000000000002</v>
      </c>
      <c r="I298">
        <f>VLOOKUP(B298,'Grade Formula'!$A$1:$F$7,6,FALSE)*C298*D298/1000</f>
        <v>1.88</v>
      </c>
      <c r="J298">
        <f>VLOOKUP(B298,'Grade Formula'!$A$1:$F$7,5,FALSE)*C298*D298/1000</f>
        <v>2.38</v>
      </c>
      <c r="K298">
        <f>VLOOKUP(B298,'Grade Formula'!$A$1:$F$7,3,FALSE)*C298*D298/1000</f>
        <v>0.4</v>
      </c>
      <c r="L298">
        <f t="shared" si="9"/>
        <v>20</v>
      </c>
    </row>
    <row r="299" spans="1:12" x14ac:dyDescent="0.3">
      <c r="A299" s="1">
        <v>45794</v>
      </c>
      <c r="B299" t="s">
        <v>3</v>
      </c>
      <c r="C299" s="3">
        <v>1</v>
      </c>
      <c r="D299" s="3">
        <v>1</v>
      </c>
      <c r="E299" s="3">
        <f t="shared" si="8"/>
        <v>1</v>
      </c>
      <c r="F299" s="3" t="s">
        <v>102</v>
      </c>
      <c r="G299">
        <f>VLOOKUP(B299,'Grade Formula'!$A$1:$F$7,2,FALSE)*C299*D299/1000</f>
        <v>0.23</v>
      </c>
      <c r="H299">
        <f>VLOOKUP(B299,'Grade Formula'!$A$1:$F$7,4,FALSE)*C299*D299/1000</f>
        <v>0.67200000000000004</v>
      </c>
      <c r="I299">
        <f>VLOOKUP(B299,'Grade Formula'!$A$1:$F$7,6,FALSE)*C299*D299/1000</f>
        <v>0.47</v>
      </c>
      <c r="J299">
        <f>VLOOKUP(B299,'Grade Formula'!$A$1:$F$7,5,FALSE)*C299*D299/1000</f>
        <v>0.59499999999999997</v>
      </c>
      <c r="K299">
        <f>VLOOKUP(B299,'Grade Formula'!$A$1:$F$7,3,FALSE)*C299*D299/1000</f>
        <v>0.1</v>
      </c>
      <c r="L299">
        <f t="shared" si="9"/>
        <v>20</v>
      </c>
    </row>
    <row r="300" spans="1:12" x14ac:dyDescent="0.3">
      <c r="A300" s="1">
        <v>45794</v>
      </c>
      <c r="B300" t="s">
        <v>4</v>
      </c>
      <c r="C300" s="3">
        <v>6</v>
      </c>
      <c r="D300" s="3">
        <v>2</v>
      </c>
      <c r="E300" s="3">
        <f t="shared" si="8"/>
        <v>12</v>
      </c>
      <c r="F300" s="3" t="s">
        <v>120</v>
      </c>
      <c r="G300">
        <f>VLOOKUP(B300,'Grade Formula'!$A$1:$F$7,2,FALSE)*C300*D300/1000</f>
        <v>3</v>
      </c>
      <c r="H300">
        <f>VLOOKUP(B300,'Grade Formula'!$A$1:$F$7,4,FALSE)*C300*D300/1000</f>
        <v>9.7919999999999998</v>
      </c>
      <c r="I300">
        <f>VLOOKUP(B300,'Grade Formula'!$A$1:$F$7,6,FALSE)*C300*D300/1000</f>
        <v>5.7359999999999998</v>
      </c>
      <c r="J300">
        <f>VLOOKUP(B300,'Grade Formula'!$A$1:$F$7,5,FALSE)*C300*D300/1000</f>
        <v>7.032</v>
      </c>
      <c r="K300">
        <f>VLOOKUP(B300,'Grade Formula'!$A$1:$F$7,3,FALSE)*C300*D300/1000</f>
        <v>1.32</v>
      </c>
      <c r="L300">
        <f t="shared" si="9"/>
        <v>20</v>
      </c>
    </row>
    <row r="301" spans="1:12" x14ac:dyDescent="0.3">
      <c r="A301" s="1">
        <v>45795</v>
      </c>
      <c r="B301" t="s">
        <v>4</v>
      </c>
      <c r="C301" s="3">
        <v>5</v>
      </c>
      <c r="D301" s="3">
        <v>2</v>
      </c>
      <c r="E301" s="3">
        <f t="shared" si="8"/>
        <v>10</v>
      </c>
      <c r="F301" s="3" t="s">
        <v>103</v>
      </c>
      <c r="G301">
        <f>VLOOKUP(B301,'Grade Formula'!$A$1:$F$7,2,FALSE)*C301*D301/1000</f>
        <v>2.5</v>
      </c>
      <c r="H301">
        <f>VLOOKUP(B301,'Grade Formula'!$A$1:$F$7,4,FALSE)*C301*D301/1000</f>
        <v>8.16</v>
      </c>
      <c r="I301">
        <f>VLOOKUP(B301,'Grade Formula'!$A$1:$F$7,6,FALSE)*C301*D301/1000</f>
        <v>4.78</v>
      </c>
      <c r="J301">
        <f>VLOOKUP(B301,'Grade Formula'!$A$1:$F$7,5,FALSE)*C301*D301/1000</f>
        <v>5.86</v>
      </c>
      <c r="K301">
        <f>VLOOKUP(B301,'Grade Formula'!$A$1:$F$7,3,FALSE)*C301*D301/1000</f>
        <v>1.1000000000000001</v>
      </c>
      <c r="L301">
        <f t="shared" si="9"/>
        <v>21</v>
      </c>
    </row>
    <row r="302" spans="1:12" x14ac:dyDescent="0.3">
      <c r="A302" s="1">
        <v>45795</v>
      </c>
      <c r="B302" t="s">
        <v>4</v>
      </c>
      <c r="C302" s="3">
        <v>6</v>
      </c>
      <c r="D302" s="3">
        <v>3</v>
      </c>
      <c r="E302" s="3">
        <f t="shared" si="8"/>
        <v>18</v>
      </c>
      <c r="F302" s="3" t="s">
        <v>103</v>
      </c>
      <c r="G302">
        <f>VLOOKUP(B302,'Grade Formula'!$A$1:$F$7,2,FALSE)*C302*D302/1000</f>
        <v>4.5</v>
      </c>
      <c r="H302">
        <f>VLOOKUP(B302,'Grade Formula'!$A$1:$F$7,4,FALSE)*C302*D302/1000</f>
        <v>14.688000000000001</v>
      </c>
      <c r="I302">
        <f>VLOOKUP(B302,'Grade Formula'!$A$1:$F$7,6,FALSE)*C302*D302/1000</f>
        <v>8.6039999999999992</v>
      </c>
      <c r="J302">
        <f>VLOOKUP(B302,'Grade Formula'!$A$1:$F$7,5,FALSE)*C302*D302/1000</f>
        <v>10.548</v>
      </c>
      <c r="K302">
        <f>VLOOKUP(B302,'Grade Formula'!$A$1:$F$7,3,FALSE)*C302*D302/1000</f>
        <v>1.98</v>
      </c>
      <c r="L302">
        <f t="shared" si="9"/>
        <v>21</v>
      </c>
    </row>
    <row r="303" spans="1:12" x14ac:dyDescent="0.3">
      <c r="A303" s="1">
        <v>45797</v>
      </c>
      <c r="B303" t="s">
        <v>4</v>
      </c>
      <c r="C303" s="3">
        <v>6</v>
      </c>
      <c r="D303" s="3">
        <v>4</v>
      </c>
      <c r="E303" s="3">
        <f t="shared" si="8"/>
        <v>24</v>
      </c>
      <c r="F303" s="3" t="s">
        <v>103</v>
      </c>
      <c r="G303">
        <f>VLOOKUP(B303,'Grade Formula'!$A$1:$F$7,2,FALSE)*C303*D303/1000</f>
        <v>6</v>
      </c>
      <c r="H303">
        <f>VLOOKUP(B303,'Grade Formula'!$A$1:$F$7,4,FALSE)*C303*D303/1000</f>
        <v>19.584</v>
      </c>
      <c r="I303">
        <f>VLOOKUP(B303,'Grade Formula'!$A$1:$F$7,6,FALSE)*C303*D303/1000</f>
        <v>11.472</v>
      </c>
      <c r="J303">
        <f>VLOOKUP(B303,'Grade Formula'!$A$1:$F$7,5,FALSE)*C303*D303/1000</f>
        <v>14.064</v>
      </c>
      <c r="K303">
        <f>VLOOKUP(B303,'Grade Formula'!$A$1:$F$7,3,FALSE)*C303*D303/1000</f>
        <v>2.64</v>
      </c>
      <c r="L303">
        <f t="shared" si="9"/>
        <v>21</v>
      </c>
    </row>
    <row r="304" spans="1:12" x14ac:dyDescent="0.3">
      <c r="A304" s="1">
        <v>45797</v>
      </c>
      <c r="B304" t="s">
        <v>4</v>
      </c>
      <c r="C304" s="3">
        <v>5.5</v>
      </c>
      <c r="D304" s="3">
        <v>1</v>
      </c>
      <c r="E304" s="3">
        <f t="shared" si="8"/>
        <v>5.5</v>
      </c>
      <c r="F304" s="3" t="s">
        <v>103</v>
      </c>
      <c r="G304">
        <f>VLOOKUP(B304,'Grade Formula'!$A$1:$F$7,2,FALSE)*C304*D304/1000</f>
        <v>1.375</v>
      </c>
      <c r="H304">
        <f>VLOOKUP(B304,'Grade Formula'!$A$1:$F$7,4,FALSE)*C304*D304/1000</f>
        <v>4.4880000000000004</v>
      </c>
      <c r="I304">
        <f>VLOOKUP(B304,'Grade Formula'!$A$1:$F$7,6,FALSE)*C304*D304/1000</f>
        <v>2.629</v>
      </c>
      <c r="J304">
        <f>VLOOKUP(B304,'Grade Formula'!$A$1:$F$7,5,FALSE)*C304*D304/1000</f>
        <v>3.2229999999999999</v>
      </c>
      <c r="K304">
        <f>VLOOKUP(B304,'Grade Formula'!$A$1:$F$7,3,FALSE)*C304*D304/1000</f>
        <v>0.60499999999999998</v>
      </c>
      <c r="L304">
        <f t="shared" si="9"/>
        <v>21</v>
      </c>
    </row>
    <row r="305" spans="1:12" x14ac:dyDescent="0.3">
      <c r="A305" s="1">
        <v>45797</v>
      </c>
      <c r="B305" t="s">
        <v>3</v>
      </c>
      <c r="C305" s="3">
        <v>7</v>
      </c>
      <c r="D305" s="3">
        <v>5</v>
      </c>
      <c r="E305" s="3">
        <f t="shared" si="8"/>
        <v>35</v>
      </c>
      <c r="F305" s="3" t="s">
        <v>153</v>
      </c>
      <c r="G305">
        <f>VLOOKUP(B305,'Grade Formula'!$A$1:$F$7,2,FALSE)*C305*D305/1000</f>
        <v>8.0500000000000007</v>
      </c>
      <c r="H305">
        <f>VLOOKUP(B305,'Grade Formula'!$A$1:$F$7,4,FALSE)*C305*D305/1000</f>
        <v>23.52</v>
      </c>
      <c r="I305">
        <f>VLOOKUP(B305,'Grade Formula'!$A$1:$F$7,6,FALSE)*C305*D305/1000</f>
        <v>16.45</v>
      </c>
      <c r="J305">
        <f>VLOOKUP(B305,'Grade Formula'!$A$1:$F$7,5,FALSE)*C305*D305/1000</f>
        <v>20.824999999999999</v>
      </c>
      <c r="K305">
        <f>VLOOKUP(B305,'Grade Formula'!$A$1:$F$7,3,FALSE)*C305*D305/1000</f>
        <v>3.5</v>
      </c>
      <c r="L305">
        <f t="shared" si="9"/>
        <v>21</v>
      </c>
    </row>
    <row r="306" spans="1:12" x14ac:dyDescent="0.3">
      <c r="A306" s="1">
        <v>45798</v>
      </c>
      <c r="B306" t="s">
        <v>4</v>
      </c>
      <c r="C306" s="3">
        <v>6</v>
      </c>
      <c r="D306" s="3">
        <v>11</v>
      </c>
      <c r="E306" s="3">
        <f t="shared" si="8"/>
        <v>66</v>
      </c>
      <c r="F306" s="3" t="s">
        <v>145</v>
      </c>
      <c r="G306">
        <f>VLOOKUP(B306,'Grade Formula'!$A$1:$F$7,2,FALSE)*C306*D306/1000</f>
        <v>16.5</v>
      </c>
      <c r="H306">
        <f>VLOOKUP(B306,'Grade Formula'!$A$1:$F$7,4,FALSE)*C306*D306/1000</f>
        <v>53.856000000000002</v>
      </c>
      <c r="I306">
        <f>VLOOKUP(B306,'Grade Formula'!$A$1:$F$7,6,FALSE)*C306*D306/1000</f>
        <v>31.547999999999998</v>
      </c>
      <c r="J306">
        <f>VLOOKUP(B306,'Grade Formula'!$A$1:$F$7,5,FALSE)*C306*D306/1000</f>
        <v>38.676000000000002</v>
      </c>
      <c r="K306">
        <f>VLOOKUP(B306,'Grade Formula'!$A$1:$F$7,3,FALSE)*C306*D306/1000</f>
        <v>7.26</v>
      </c>
      <c r="L306">
        <f t="shared" si="9"/>
        <v>21</v>
      </c>
    </row>
    <row r="307" spans="1:12" x14ac:dyDescent="0.3">
      <c r="A307" s="1">
        <v>45799</v>
      </c>
      <c r="B307" t="s">
        <v>3</v>
      </c>
      <c r="C307" s="3">
        <v>7</v>
      </c>
      <c r="D307" s="3">
        <v>9</v>
      </c>
      <c r="E307" s="3">
        <f t="shared" si="8"/>
        <v>63</v>
      </c>
      <c r="F307" s="3" t="s">
        <v>121</v>
      </c>
      <c r="G307">
        <f>VLOOKUP(B307,'Grade Formula'!$A$1:$F$7,2,FALSE)*C307*D307/1000</f>
        <v>14.49</v>
      </c>
      <c r="H307">
        <f>VLOOKUP(B307,'Grade Formula'!$A$1:$F$7,4,FALSE)*C307*D307/1000</f>
        <v>42.335999999999999</v>
      </c>
      <c r="I307">
        <f>VLOOKUP(B307,'Grade Formula'!$A$1:$F$7,6,FALSE)*C307*D307/1000</f>
        <v>29.61</v>
      </c>
      <c r="J307">
        <f>VLOOKUP(B307,'Grade Formula'!$A$1:$F$7,5,FALSE)*C307*D307/1000</f>
        <v>37.484999999999999</v>
      </c>
      <c r="K307">
        <f>VLOOKUP(B307,'Grade Formula'!$A$1:$F$7,3,FALSE)*C307*D307/1000</f>
        <v>6.3</v>
      </c>
      <c r="L307">
        <f t="shared" si="9"/>
        <v>21</v>
      </c>
    </row>
    <row r="308" spans="1:12" x14ac:dyDescent="0.3">
      <c r="A308" s="1">
        <v>45799</v>
      </c>
      <c r="B308" t="s">
        <v>3</v>
      </c>
      <c r="C308" s="3">
        <v>4</v>
      </c>
      <c r="D308" s="3">
        <v>1</v>
      </c>
      <c r="E308" s="3">
        <f t="shared" si="8"/>
        <v>4</v>
      </c>
      <c r="F308" s="3" t="s">
        <v>121</v>
      </c>
      <c r="G308">
        <f>VLOOKUP(B308,'Grade Formula'!$A$1:$F$7,2,FALSE)*C308*D308/1000</f>
        <v>0.92</v>
      </c>
      <c r="H308">
        <f>VLOOKUP(B308,'Grade Formula'!$A$1:$F$7,4,FALSE)*C308*D308/1000</f>
        <v>2.6880000000000002</v>
      </c>
      <c r="I308">
        <f>VLOOKUP(B308,'Grade Formula'!$A$1:$F$7,6,FALSE)*C308*D308/1000</f>
        <v>1.88</v>
      </c>
      <c r="J308">
        <f>VLOOKUP(B308,'Grade Formula'!$A$1:$F$7,5,FALSE)*C308*D308/1000</f>
        <v>2.38</v>
      </c>
      <c r="K308">
        <f>VLOOKUP(B308,'Grade Formula'!$A$1:$F$7,3,FALSE)*C308*D308/1000</f>
        <v>0.4</v>
      </c>
      <c r="L308">
        <f t="shared" si="9"/>
        <v>21</v>
      </c>
    </row>
    <row r="309" spans="1:12" x14ac:dyDescent="0.3">
      <c r="A309" s="1">
        <v>45799</v>
      </c>
      <c r="B309" t="s">
        <v>3</v>
      </c>
      <c r="C309" s="3">
        <v>6</v>
      </c>
      <c r="D309" s="3">
        <v>1</v>
      </c>
      <c r="E309" s="3">
        <f t="shared" si="8"/>
        <v>6</v>
      </c>
      <c r="F309" s="3" t="s">
        <v>121</v>
      </c>
      <c r="G309">
        <f>VLOOKUP(B309,'Grade Formula'!$A$1:$F$7,2,FALSE)*C309*D309/1000</f>
        <v>1.38</v>
      </c>
      <c r="H309">
        <f>VLOOKUP(B309,'Grade Formula'!$A$1:$F$7,4,FALSE)*C309*D309/1000</f>
        <v>4.032</v>
      </c>
      <c r="I309">
        <f>VLOOKUP(B309,'Grade Formula'!$A$1:$F$7,6,FALSE)*C309*D309/1000</f>
        <v>2.82</v>
      </c>
      <c r="J309">
        <f>VLOOKUP(B309,'Grade Formula'!$A$1:$F$7,5,FALSE)*C309*D309/1000</f>
        <v>3.57</v>
      </c>
      <c r="K309">
        <f>VLOOKUP(B309,'Grade Formula'!$A$1:$F$7,3,FALSE)*C309*D309/1000</f>
        <v>0.6</v>
      </c>
      <c r="L309">
        <f t="shared" si="9"/>
        <v>21</v>
      </c>
    </row>
    <row r="310" spans="1:12" x14ac:dyDescent="0.3">
      <c r="A310" s="1">
        <v>45799</v>
      </c>
      <c r="B310" t="s">
        <v>3</v>
      </c>
      <c r="C310" s="3">
        <v>4.75</v>
      </c>
      <c r="D310" s="3">
        <v>1</v>
      </c>
      <c r="E310" s="3">
        <f t="shared" si="8"/>
        <v>4.75</v>
      </c>
      <c r="F310" s="3" t="s">
        <v>121</v>
      </c>
      <c r="G310">
        <f>VLOOKUP(B310,'Grade Formula'!$A$1:$F$7,2,FALSE)*C310*D310/1000</f>
        <v>1.0925</v>
      </c>
      <c r="H310">
        <f>VLOOKUP(B310,'Grade Formula'!$A$1:$F$7,4,FALSE)*C310*D310/1000</f>
        <v>3.1920000000000002</v>
      </c>
      <c r="I310">
        <f>VLOOKUP(B310,'Grade Formula'!$A$1:$F$7,6,FALSE)*C310*D310/1000</f>
        <v>2.2324999999999999</v>
      </c>
      <c r="J310">
        <f>VLOOKUP(B310,'Grade Formula'!$A$1:$F$7,5,FALSE)*C310*D310/1000</f>
        <v>2.8262499999999999</v>
      </c>
      <c r="K310">
        <f>VLOOKUP(B310,'Grade Formula'!$A$1:$F$7,3,FALSE)*C310*D310/1000</f>
        <v>0.47499999999999998</v>
      </c>
      <c r="L310">
        <f t="shared" si="9"/>
        <v>21</v>
      </c>
    </row>
    <row r="311" spans="1:12" x14ac:dyDescent="0.3">
      <c r="A311" s="1">
        <v>45799</v>
      </c>
      <c r="B311" t="s">
        <v>6</v>
      </c>
      <c r="C311" s="3">
        <v>7</v>
      </c>
      <c r="D311" s="3">
        <v>3</v>
      </c>
      <c r="E311" s="3">
        <f t="shared" si="8"/>
        <v>21</v>
      </c>
      <c r="F311" s="3" t="s">
        <v>143</v>
      </c>
      <c r="G311">
        <f>VLOOKUP(B311,'Grade Formula'!$A$1:$F$7,2,FALSE)*C311*D311/1000</f>
        <v>5.46</v>
      </c>
      <c r="H311">
        <f>VLOOKUP(B311,'Grade Formula'!$A$1:$F$7,4,FALSE)*C311*D311/1000</f>
        <v>15.057</v>
      </c>
      <c r="I311">
        <f>VLOOKUP(B311,'Grade Formula'!$A$1:$F$7,6,FALSE)*C311*D311/1000</f>
        <v>10.08</v>
      </c>
      <c r="J311">
        <f>VLOOKUP(B311,'Grade Formula'!$A$1:$F$7,5,FALSE)*C311*D311/1000</f>
        <v>13.23</v>
      </c>
      <c r="K311">
        <f>VLOOKUP(B311,'Grade Formula'!$A$1:$F$7,3,FALSE)*C311*D311/1000</f>
        <v>0</v>
      </c>
      <c r="L311">
        <f t="shared" si="9"/>
        <v>21</v>
      </c>
    </row>
    <row r="312" spans="1:12" x14ac:dyDescent="0.3">
      <c r="A312" s="1">
        <v>45799</v>
      </c>
      <c r="B312" t="s">
        <v>6</v>
      </c>
      <c r="C312" s="3">
        <v>6</v>
      </c>
      <c r="D312" s="3">
        <v>1</v>
      </c>
      <c r="E312" s="3">
        <f t="shared" si="8"/>
        <v>6</v>
      </c>
      <c r="F312" s="3" t="s">
        <v>143</v>
      </c>
      <c r="G312">
        <f>VLOOKUP(B312,'Grade Formula'!$A$1:$F$7,2,FALSE)*C312*D312/1000</f>
        <v>1.56</v>
      </c>
      <c r="H312">
        <f>VLOOKUP(B312,'Grade Formula'!$A$1:$F$7,4,FALSE)*C312*D312/1000</f>
        <v>4.3019999999999996</v>
      </c>
      <c r="I312">
        <f>VLOOKUP(B312,'Grade Formula'!$A$1:$F$7,6,FALSE)*C312*D312/1000</f>
        <v>2.88</v>
      </c>
      <c r="J312">
        <f>VLOOKUP(B312,'Grade Formula'!$A$1:$F$7,5,FALSE)*C312*D312/1000</f>
        <v>3.78</v>
      </c>
      <c r="K312">
        <f>VLOOKUP(B312,'Grade Formula'!$A$1:$F$7,3,FALSE)*C312*D312/1000</f>
        <v>0</v>
      </c>
      <c r="L312">
        <f t="shared" si="9"/>
        <v>21</v>
      </c>
    </row>
    <row r="313" spans="1:12" x14ac:dyDescent="0.3">
      <c r="A313" s="1">
        <v>45800</v>
      </c>
      <c r="B313" t="s">
        <v>4</v>
      </c>
      <c r="C313" s="3">
        <v>7</v>
      </c>
      <c r="D313" s="3">
        <v>9</v>
      </c>
      <c r="E313" s="3">
        <f t="shared" si="8"/>
        <v>63</v>
      </c>
      <c r="F313" s="3" t="s">
        <v>145</v>
      </c>
      <c r="G313">
        <f>VLOOKUP(B313,'Grade Formula'!$A$1:$F$7,2,FALSE)*C313*D313/1000</f>
        <v>15.75</v>
      </c>
      <c r="H313">
        <f>VLOOKUP(B313,'Grade Formula'!$A$1:$F$7,4,FALSE)*C313*D313/1000</f>
        <v>51.408000000000001</v>
      </c>
      <c r="I313">
        <f>VLOOKUP(B313,'Grade Formula'!$A$1:$F$7,6,FALSE)*C313*D313/1000</f>
        <v>30.114000000000001</v>
      </c>
      <c r="J313">
        <f>VLOOKUP(B313,'Grade Formula'!$A$1:$F$7,5,FALSE)*C313*D313/1000</f>
        <v>36.917999999999999</v>
      </c>
      <c r="K313">
        <f>VLOOKUP(B313,'Grade Formula'!$A$1:$F$7,3,FALSE)*C313*D313/1000</f>
        <v>6.93</v>
      </c>
      <c r="L313">
        <f t="shared" si="9"/>
        <v>21</v>
      </c>
    </row>
    <row r="314" spans="1:12" x14ac:dyDescent="0.3">
      <c r="A314" s="1">
        <v>45800</v>
      </c>
      <c r="B314" t="s">
        <v>4</v>
      </c>
      <c r="C314" s="3">
        <v>4</v>
      </c>
      <c r="D314" s="3">
        <v>2</v>
      </c>
      <c r="E314" s="3">
        <f t="shared" si="8"/>
        <v>8</v>
      </c>
      <c r="F314" s="3" t="s">
        <v>145</v>
      </c>
      <c r="G314">
        <f>VLOOKUP(B314,'Grade Formula'!$A$1:$F$7,2,FALSE)*C314*D314/1000</f>
        <v>2</v>
      </c>
      <c r="H314">
        <f>VLOOKUP(B314,'Grade Formula'!$A$1:$F$7,4,FALSE)*C314*D314/1000</f>
        <v>6.5279999999999996</v>
      </c>
      <c r="I314">
        <f>VLOOKUP(B314,'Grade Formula'!$A$1:$F$7,6,FALSE)*C314*D314/1000</f>
        <v>3.8239999999999998</v>
      </c>
      <c r="J314">
        <f>VLOOKUP(B314,'Grade Formula'!$A$1:$F$7,5,FALSE)*C314*D314/1000</f>
        <v>4.6879999999999997</v>
      </c>
      <c r="K314">
        <f>VLOOKUP(B314,'Grade Formula'!$A$1:$F$7,3,FALSE)*C314*D314/1000</f>
        <v>0.88</v>
      </c>
      <c r="L314">
        <f t="shared" si="9"/>
        <v>21</v>
      </c>
    </row>
    <row r="315" spans="1:12" x14ac:dyDescent="0.3">
      <c r="A315" s="1">
        <v>45800</v>
      </c>
      <c r="B315" t="s">
        <v>6</v>
      </c>
      <c r="C315" s="3">
        <v>6</v>
      </c>
      <c r="D315" s="3">
        <v>2</v>
      </c>
      <c r="E315" s="3">
        <f t="shared" si="8"/>
        <v>12</v>
      </c>
      <c r="F315" s="3" t="s">
        <v>143</v>
      </c>
      <c r="G315">
        <f>VLOOKUP(B315,'Grade Formula'!$A$1:$F$7,2,FALSE)*C315*D315/1000</f>
        <v>3.12</v>
      </c>
      <c r="H315">
        <f>VLOOKUP(B315,'Grade Formula'!$A$1:$F$7,4,FALSE)*C315*D315/1000</f>
        <v>8.6039999999999992</v>
      </c>
      <c r="I315">
        <f>VLOOKUP(B315,'Grade Formula'!$A$1:$F$7,6,FALSE)*C315*D315/1000</f>
        <v>5.76</v>
      </c>
      <c r="J315">
        <f>VLOOKUP(B315,'Grade Formula'!$A$1:$F$7,5,FALSE)*C315*D315/1000</f>
        <v>7.56</v>
      </c>
      <c r="K315">
        <f>VLOOKUP(B315,'Grade Formula'!$A$1:$F$7,3,FALSE)*C315*D315/1000</f>
        <v>0</v>
      </c>
      <c r="L315">
        <f t="shared" si="9"/>
        <v>21</v>
      </c>
    </row>
    <row r="316" spans="1:12" x14ac:dyDescent="0.3">
      <c r="A316" s="1">
        <v>45800</v>
      </c>
      <c r="B316" t="s">
        <v>6</v>
      </c>
      <c r="C316" s="3">
        <v>3</v>
      </c>
      <c r="D316" s="3">
        <v>1</v>
      </c>
      <c r="E316" s="3">
        <f t="shared" si="8"/>
        <v>3</v>
      </c>
      <c r="F316" s="3" t="s">
        <v>143</v>
      </c>
      <c r="G316">
        <f>VLOOKUP(B316,'Grade Formula'!$A$1:$F$7,2,FALSE)*C316*D316/1000</f>
        <v>0.78</v>
      </c>
      <c r="H316">
        <f>VLOOKUP(B316,'Grade Formula'!$A$1:$F$7,4,FALSE)*C316*D316/1000</f>
        <v>2.1509999999999998</v>
      </c>
      <c r="I316">
        <f>VLOOKUP(B316,'Grade Formula'!$A$1:$F$7,6,FALSE)*C316*D316/1000</f>
        <v>1.44</v>
      </c>
      <c r="J316">
        <f>VLOOKUP(B316,'Grade Formula'!$A$1:$F$7,5,FALSE)*C316*D316/1000</f>
        <v>1.89</v>
      </c>
      <c r="K316">
        <f>VLOOKUP(B316,'Grade Formula'!$A$1:$F$7,3,FALSE)*C316*D316/1000</f>
        <v>0</v>
      </c>
      <c r="L316">
        <f t="shared" si="9"/>
        <v>21</v>
      </c>
    </row>
    <row r="317" spans="1:12" x14ac:dyDescent="0.3">
      <c r="A317" s="1">
        <v>45801</v>
      </c>
      <c r="B317" t="s">
        <v>4</v>
      </c>
      <c r="C317" s="3">
        <v>6</v>
      </c>
      <c r="D317" s="3">
        <v>2</v>
      </c>
      <c r="E317" s="3">
        <f t="shared" si="8"/>
        <v>12</v>
      </c>
      <c r="F317" s="3" t="s">
        <v>103</v>
      </c>
      <c r="G317">
        <f>VLOOKUP(B317,'Grade Formula'!$A$1:$F$7,2,FALSE)*C317*D317/1000</f>
        <v>3</v>
      </c>
      <c r="H317">
        <f>VLOOKUP(B317,'Grade Formula'!$A$1:$F$7,4,FALSE)*C317*D317/1000</f>
        <v>9.7919999999999998</v>
      </c>
      <c r="I317">
        <f>VLOOKUP(B317,'Grade Formula'!$A$1:$F$7,6,FALSE)*C317*D317/1000</f>
        <v>5.7359999999999998</v>
      </c>
      <c r="J317">
        <f>VLOOKUP(B317,'Grade Formula'!$A$1:$F$7,5,FALSE)*C317*D317/1000</f>
        <v>7.032</v>
      </c>
      <c r="K317">
        <f>VLOOKUP(B317,'Grade Formula'!$A$1:$F$7,3,FALSE)*C317*D317/1000</f>
        <v>1.32</v>
      </c>
      <c r="L317">
        <f t="shared" si="9"/>
        <v>21</v>
      </c>
    </row>
    <row r="318" spans="1:12" x14ac:dyDescent="0.3">
      <c r="A318" s="1">
        <v>45801</v>
      </c>
      <c r="B318" t="s">
        <v>6</v>
      </c>
      <c r="C318" s="3">
        <v>3</v>
      </c>
      <c r="D318" s="3">
        <v>1</v>
      </c>
      <c r="E318" s="3">
        <f t="shared" si="8"/>
        <v>3</v>
      </c>
      <c r="F318" s="3" t="s">
        <v>103</v>
      </c>
      <c r="G318">
        <f>VLOOKUP(B318,'Grade Formula'!$A$1:$F$7,2,FALSE)*C318*D318/1000</f>
        <v>0.78</v>
      </c>
      <c r="H318">
        <f>VLOOKUP(B318,'Grade Formula'!$A$1:$F$7,4,FALSE)*C318*D318/1000</f>
        <v>2.1509999999999998</v>
      </c>
      <c r="I318">
        <f>VLOOKUP(B318,'Grade Formula'!$A$1:$F$7,6,FALSE)*C318*D318/1000</f>
        <v>1.44</v>
      </c>
      <c r="J318">
        <f>VLOOKUP(B318,'Grade Formula'!$A$1:$F$7,5,FALSE)*C318*D318/1000</f>
        <v>1.89</v>
      </c>
      <c r="K318">
        <f>VLOOKUP(B318,'Grade Formula'!$A$1:$F$7,3,FALSE)*C318*D318/1000</f>
        <v>0</v>
      </c>
      <c r="L318">
        <f t="shared" si="9"/>
        <v>21</v>
      </c>
    </row>
    <row r="319" spans="1:12" x14ac:dyDescent="0.3">
      <c r="A319" s="1">
        <v>45801</v>
      </c>
      <c r="B319" t="s">
        <v>5</v>
      </c>
      <c r="C319" s="3">
        <v>7</v>
      </c>
      <c r="D319" s="3">
        <v>3</v>
      </c>
      <c r="E319" s="3">
        <f t="shared" si="8"/>
        <v>21</v>
      </c>
      <c r="F319" s="3" t="s">
        <v>110</v>
      </c>
      <c r="G319">
        <f>VLOOKUP(B319,'Grade Formula'!$A$1:$F$7,2,FALSE)*C319*D319/1000</f>
        <v>6.72</v>
      </c>
      <c r="H319">
        <f>VLOOKUP(B319,'Grade Formula'!$A$1:$F$7,4,FALSE)*C319*D319/1000</f>
        <v>13.188000000000001</v>
      </c>
      <c r="I319">
        <f>VLOOKUP(B319,'Grade Formula'!$A$1:$F$7,6,FALSE)*C319*D319/1000</f>
        <v>9.8699999999999992</v>
      </c>
      <c r="J319">
        <f>VLOOKUP(B319,'Grade Formula'!$A$1:$F$7,5,FALSE)*C319*D319/1000</f>
        <v>12.6</v>
      </c>
      <c r="K319">
        <f>VLOOKUP(B319,'Grade Formula'!$A$1:$F$7,3,FALSE)*C319*D319/1000</f>
        <v>1.68</v>
      </c>
      <c r="L319">
        <f t="shared" si="9"/>
        <v>21</v>
      </c>
    </row>
    <row r="320" spans="1:12" x14ac:dyDescent="0.3">
      <c r="A320" s="1">
        <v>45801</v>
      </c>
      <c r="B320" t="s">
        <v>5</v>
      </c>
      <c r="C320" s="3">
        <v>3.5</v>
      </c>
      <c r="D320" s="3">
        <v>1</v>
      </c>
      <c r="E320" s="3">
        <f t="shared" si="8"/>
        <v>3.5</v>
      </c>
      <c r="F320" s="3" t="s">
        <v>110</v>
      </c>
      <c r="G320">
        <f>VLOOKUP(B320,'Grade Formula'!$A$1:$F$7,2,FALSE)*C320*D320/1000</f>
        <v>1.1200000000000001</v>
      </c>
      <c r="H320">
        <f>VLOOKUP(B320,'Grade Formula'!$A$1:$F$7,4,FALSE)*C320*D320/1000</f>
        <v>2.198</v>
      </c>
      <c r="I320">
        <f>VLOOKUP(B320,'Grade Formula'!$A$1:$F$7,6,FALSE)*C320*D320/1000</f>
        <v>1.645</v>
      </c>
      <c r="J320">
        <f>VLOOKUP(B320,'Grade Formula'!$A$1:$F$7,5,FALSE)*C320*D320/1000</f>
        <v>2.1</v>
      </c>
      <c r="K320">
        <f>VLOOKUP(B320,'Grade Formula'!$A$1:$F$7,3,FALSE)*C320*D320/1000</f>
        <v>0.28000000000000003</v>
      </c>
      <c r="L320">
        <f t="shared" si="9"/>
        <v>21</v>
      </c>
    </row>
    <row r="321" spans="1:12" x14ac:dyDescent="0.3">
      <c r="A321" s="1">
        <v>45802</v>
      </c>
      <c r="B321" t="s">
        <v>4</v>
      </c>
      <c r="C321" s="3">
        <v>7</v>
      </c>
      <c r="D321" s="3">
        <v>1</v>
      </c>
      <c r="E321" s="3">
        <f t="shared" si="8"/>
        <v>7</v>
      </c>
      <c r="F321" s="3" t="s">
        <v>103</v>
      </c>
      <c r="G321">
        <f>VLOOKUP(B321,'Grade Formula'!$A$1:$F$7,2,FALSE)*C321*D321/1000</f>
        <v>1.75</v>
      </c>
      <c r="H321">
        <f>VLOOKUP(B321,'Grade Formula'!$A$1:$F$7,4,FALSE)*C321*D321/1000</f>
        <v>5.7119999999999997</v>
      </c>
      <c r="I321">
        <f>VLOOKUP(B321,'Grade Formula'!$A$1:$F$7,6,FALSE)*C321*D321/1000</f>
        <v>3.3460000000000001</v>
      </c>
      <c r="J321">
        <f>VLOOKUP(B321,'Grade Formula'!$A$1:$F$7,5,FALSE)*C321*D321/1000</f>
        <v>4.1020000000000003</v>
      </c>
      <c r="K321">
        <f>VLOOKUP(B321,'Grade Formula'!$A$1:$F$7,3,FALSE)*C321*D321/1000</f>
        <v>0.77</v>
      </c>
      <c r="L321">
        <f t="shared" si="9"/>
        <v>22</v>
      </c>
    </row>
    <row r="322" spans="1:12" x14ac:dyDescent="0.3">
      <c r="A322" s="1">
        <v>45803</v>
      </c>
      <c r="B322" t="s">
        <v>4</v>
      </c>
      <c r="C322" s="3">
        <v>7</v>
      </c>
      <c r="D322" s="3">
        <v>2</v>
      </c>
      <c r="E322" s="3">
        <f t="shared" si="8"/>
        <v>14</v>
      </c>
      <c r="F322" s="3" t="s">
        <v>116</v>
      </c>
      <c r="G322">
        <f>VLOOKUP(B322,'Grade Formula'!$A$1:$F$7,2,FALSE)*C322*D322/1000</f>
        <v>3.5</v>
      </c>
      <c r="H322">
        <f>VLOOKUP(B322,'Grade Formula'!$A$1:$F$7,4,FALSE)*C322*D322/1000</f>
        <v>11.423999999999999</v>
      </c>
      <c r="I322">
        <f>VLOOKUP(B322,'Grade Formula'!$A$1:$F$7,6,FALSE)*C322*D322/1000</f>
        <v>6.6920000000000002</v>
      </c>
      <c r="J322">
        <f>VLOOKUP(B322,'Grade Formula'!$A$1:$F$7,5,FALSE)*C322*D322/1000</f>
        <v>8.2040000000000006</v>
      </c>
      <c r="K322">
        <f>VLOOKUP(B322,'Grade Formula'!$A$1:$F$7,3,FALSE)*C322*D322/1000</f>
        <v>1.54</v>
      </c>
      <c r="L322">
        <f t="shared" si="9"/>
        <v>22</v>
      </c>
    </row>
    <row r="323" spans="1:12" x14ac:dyDescent="0.3">
      <c r="A323" s="1">
        <v>45803</v>
      </c>
      <c r="B323" t="s">
        <v>4</v>
      </c>
      <c r="C323" s="3">
        <v>6</v>
      </c>
      <c r="D323" s="3">
        <v>14</v>
      </c>
      <c r="E323" s="3">
        <f t="shared" ref="E323:E330" si="10">C323*D323</f>
        <v>84</v>
      </c>
      <c r="F323" s="3" t="s">
        <v>145</v>
      </c>
      <c r="G323">
        <f>VLOOKUP(B323,'Grade Formula'!$A$1:$F$7,2,FALSE)*C323*D323/1000</f>
        <v>21</v>
      </c>
      <c r="H323">
        <f>VLOOKUP(B323,'Grade Formula'!$A$1:$F$7,4,FALSE)*C323*D323/1000</f>
        <v>68.543999999999997</v>
      </c>
      <c r="I323">
        <f>VLOOKUP(B323,'Grade Formula'!$A$1:$F$7,6,FALSE)*C323*D323/1000</f>
        <v>40.152000000000001</v>
      </c>
      <c r="J323">
        <f>VLOOKUP(B323,'Grade Formula'!$A$1:$F$7,5,FALSE)*C323*D323/1000</f>
        <v>49.223999999999997</v>
      </c>
      <c r="K323">
        <f>VLOOKUP(B323,'Grade Formula'!$A$1:$F$7,3,FALSE)*C323*D323/1000</f>
        <v>9.24</v>
      </c>
      <c r="L323">
        <f t="shared" ref="L323:L330" si="11">WEEKNUM(A323)</f>
        <v>22</v>
      </c>
    </row>
    <row r="324" spans="1:12" x14ac:dyDescent="0.3">
      <c r="A324" s="1">
        <v>45803</v>
      </c>
      <c r="B324" t="s">
        <v>3</v>
      </c>
      <c r="C324" s="3">
        <v>7</v>
      </c>
      <c r="D324" s="3">
        <v>2</v>
      </c>
      <c r="E324" s="3">
        <f t="shared" si="10"/>
        <v>14</v>
      </c>
      <c r="F324" s="3" t="s">
        <v>133</v>
      </c>
      <c r="G324">
        <f>VLOOKUP(B324,'Grade Formula'!$A$1:$F$7,2,FALSE)*C324*D324/1000</f>
        <v>3.22</v>
      </c>
      <c r="H324">
        <f>VLOOKUP(B324,'Grade Formula'!$A$1:$F$7,4,FALSE)*C324*D324/1000</f>
        <v>9.4079999999999995</v>
      </c>
      <c r="I324">
        <f>VLOOKUP(B324,'Grade Formula'!$A$1:$F$7,6,FALSE)*C324*D324/1000</f>
        <v>6.58</v>
      </c>
      <c r="J324">
        <f>VLOOKUP(B324,'Grade Formula'!$A$1:$F$7,5,FALSE)*C324*D324/1000</f>
        <v>8.33</v>
      </c>
      <c r="K324">
        <f>VLOOKUP(B324,'Grade Formula'!$A$1:$F$7,3,FALSE)*C324*D324/1000</f>
        <v>1.4</v>
      </c>
      <c r="L324">
        <f t="shared" si="11"/>
        <v>22</v>
      </c>
    </row>
    <row r="325" spans="1:12" x14ac:dyDescent="0.3">
      <c r="A325" s="1">
        <v>45803</v>
      </c>
      <c r="B325" t="s">
        <v>4</v>
      </c>
      <c r="C325" s="3">
        <v>2.5</v>
      </c>
      <c r="D325" s="3">
        <v>1</v>
      </c>
      <c r="E325" s="3">
        <f t="shared" si="10"/>
        <v>2.5</v>
      </c>
      <c r="F325" s="3" t="s">
        <v>145</v>
      </c>
      <c r="G325">
        <f>VLOOKUP(B325,'Grade Formula'!$A$1:$F$7,2,FALSE)*C325*D325/1000</f>
        <v>0.625</v>
      </c>
      <c r="H325">
        <f>VLOOKUP(B325,'Grade Formula'!$A$1:$F$7,4,FALSE)*C325*D325/1000</f>
        <v>2.04</v>
      </c>
      <c r="I325">
        <f>VLOOKUP(B325,'Grade Formula'!$A$1:$F$7,6,FALSE)*C325*D325/1000</f>
        <v>1.1950000000000001</v>
      </c>
      <c r="J325">
        <f>VLOOKUP(B325,'Grade Formula'!$A$1:$F$7,5,FALSE)*C325*D325/1000</f>
        <v>1.4650000000000001</v>
      </c>
      <c r="K325">
        <f>VLOOKUP(B325,'Grade Formula'!$A$1:$F$7,3,FALSE)*C325*D325/1000</f>
        <v>0.27500000000000002</v>
      </c>
      <c r="L325">
        <f t="shared" si="11"/>
        <v>22</v>
      </c>
    </row>
    <row r="326" spans="1:12" x14ac:dyDescent="0.3">
      <c r="A326" s="1">
        <v>45803</v>
      </c>
      <c r="B326" t="s">
        <v>7</v>
      </c>
      <c r="C326" s="3">
        <v>3.5</v>
      </c>
      <c r="D326" s="3">
        <v>1</v>
      </c>
      <c r="E326" s="3">
        <f t="shared" si="10"/>
        <v>3.5</v>
      </c>
      <c r="F326" s="3" t="s">
        <v>103</v>
      </c>
      <c r="G326">
        <f>VLOOKUP(B326,'Grade Formula'!$A$1:$F$7,2,FALSE)*C326*D326/1000</f>
        <v>0.73499999999999999</v>
      </c>
      <c r="H326">
        <f>VLOOKUP(B326,'Grade Formula'!$A$1:$F$7,4,FALSE)*C326*D326/1000</f>
        <v>2.7054999999999998</v>
      </c>
      <c r="I326">
        <f>VLOOKUP(B326,'Grade Formula'!$A$1:$F$7,6,FALSE)*C326*D326/1000</f>
        <v>1.7150000000000001</v>
      </c>
      <c r="J326">
        <f>VLOOKUP(B326,'Grade Formula'!$A$1:$F$7,5,FALSE)*C326*D326/1000</f>
        <v>2.31</v>
      </c>
      <c r="K326">
        <f>VLOOKUP(B326,'Grade Formula'!$A$1:$F$7,3,FALSE)*C326*D326/1000</f>
        <v>0</v>
      </c>
      <c r="L326">
        <f t="shared" si="11"/>
        <v>22</v>
      </c>
    </row>
    <row r="327" spans="1:12" x14ac:dyDescent="0.3">
      <c r="A327" s="1">
        <v>45804</v>
      </c>
      <c r="B327" t="s">
        <v>4</v>
      </c>
      <c r="C327" s="3">
        <v>6</v>
      </c>
      <c r="D327" s="3">
        <v>2</v>
      </c>
      <c r="E327" s="3">
        <f t="shared" si="10"/>
        <v>12</v>
      </c>
      <c r="F327" s="3" t="s">
        <v>103</v>
      </c>
      <c r="G327">
        <f>VLOOKUP(B327,'Grade Formula'!$A$1:$F$7,2,FALSE)*C327*D327/1000</f>
        <v>3</v>
      </c>
      <c r="H327">
        <f>VLOOKUP(B327,'Grade Formula'!$A$1:$F$7,4,FALSE)*C327*D327/1000</f>
        <v>9.7919999999999998</v>
      </c>
      <c r="I327">
        <f>VLOOKUP(B327,'Grade Formula'!$A$1:$F$7,6,FALSE)*C327*D327/1000</f>
        <v>5.7359999999999998</v>
      </c>
      <c r="J327">
        <f>VLOOKUP(B327,'Grade Formula'!$A$1:$F$7,5,FALSE)*C327*D327/1000</f>
        <v>7.032</v>
      </c>
      <c r="K327">
        <f>VLOOKUP(B327,'Grade Formula'!$A$1:$F$7,3,FALSE)*C327*D327/1000</f>
        <v>1.32</v>
      </c>
      <c r="L327">
        <f t="shared" si="11"/>
        <v>22</v>
      </c>
    </row>
    <row r="328" spans="1:12" x14ac:dyDescent="0.3">
      <c r="A328" s="1">
        <v>45805</v>
      </c>
      <c r="B328" t="s">
        <v>5</v>
      </c>
      <c r="C328" s="3">
        <v>6</v>
      </c>
      <c r="D328" s="3">
        <v>4</v>
      </c>
      <c r="E328" s="3">
        <f t="shared" si="10"/>
        <v>24</v>
      </c>
      <c r="F328" s="3" t="s">
        <v>110</v>
      </c>
      <c r="G328">
        <f>VLOOKUP(B328,'Grade Formula'!$A$1:$F$7,2,FALSE)*C328*D328/1000</f>
        <v>7.68</v>
      </c>
      <c r="H328">
        <f>VLOOKUP(B328,'Grade Formula'!$A$1:$F$7,4,FALSE)*C328*D328/1000</f>
        <v>15.071999999999999</v>
      </c>
      <c r="I328">
        <f>VLOOKUP(B328,'Grade Formula'!$A$1:$F$7,6,FALSE)*C328*D328/1000</f>
        <v>11.28</v>
      </c>
      <c r="J328">
        <f>VLOOKUP(B328,'Grade Formula'!$A$1:$F$7,5,FALSE)*C328*D328/1000</f>
        <v>14.4</v>
      </c>
      <c r="K328">
        <f>VLOOKUP(B328,'Grade Formula'!$A$1:$F$7,3,FALSE)*C328*D328/1000</f>
        <v>1.92</v>
      </c>
      <c r="L328">
        <f t="shared" si="11"/>
        <v>22</v>
      </c>
    </row>
    <row r="329" spans="1:12" x14ac:dyDescent="0.3">
      <c r="A329" s="1">
        <v>45806</v>
      </c>
      <c r="B329" t="s">
        <v>6</v>
      </c>
      <c r="C329" s="3">
        <v>5</v>
      </c>
      <c r="D329" s="3">
        <v>2</v>
      </c>
      <c r="E329" s="3">
        <f t="shared" si="10"/>
        <v>10</v>
      </c>
      <c r="F329" s="3" t="s">
        <v>136</v>
      </c>
      <c r="G329">
        <f>VLOOKUP(B329,'Grade Formula'!$A$1:$F$7,2,FALSE)*C329*D329/1000</f>
        <v>2.6</v>
      </c>
      <c r="H329">
        <f>VLOOKUP(B329,'Grade Formula'!$A$1:$F$7,4,FALSE)*C329*D329/1000</f>
        <v>7.17</v>
      </c>
      <c r="I329">
        <f>VLOOKUP(B329,'Grade Formula'!$A$1:$F$7,6,FALSE)*C329*D329/1000</f>
        <v>4.8</v>
      </c>
      <c r="J329">
        <f>VLOOKUP(B329,'Grade Formula'!$A$1:$F$7,5,FALSE)*C329*D329/1000</f>
        <v>6.3</v>
      </c>
      <c r="K329">
        <f>VLOOKUP(B329,'Grade Formula'!$A$1:$F$7,3,FALSE)*C329*D329/1000</f>
        <v>0</v>
      </c>
      <c r="L329">
        <f t="shared" si="11"/>
        <v>22</v>
      </c>
    </row>
    <row r="330" spans="1:12" x14ac:dyDescent="0.3">
      <c r="A330" s="1">
        <v>45806</v>
      </c>
      <c r="B330" t="s">
        <v>4</v>
      </c>
      <c r="C330" s="3">
        <v>6</v>
      </c>
      <c r="D330" s="3">
        <v>4</v>
      </c>
      <c r="E330" s="3">
        <f t="shared" si="10"/>
        <v>24</v>
      </c>
      <c r="F330" s="3" t="s">
        <v>152</v>
      </c>
      <c r="G330">
        <f>VLOOKUP(B330,'Grade Formula'!$A$1:$F$7,2,FALSE)*C330*D330/1000</f>
        <v>6</v>
      </c>
      <c r="H330">
        <f>VLOOKUP(B330,'Grade Formula'!$A$1:$F$7,4,FALSE)*C330*D330/1000</f>
        <v>19.584</v>
      </c>
      <c r="I330">
        <f>VLOOKUP(B330,'Grade Formula'!$A$1:$F$7,6,FALSE)*C330*D330/1000</f>
        <v>11.472</v>
      </c>
      <c r="J330">
        <f>VLOOKUP(B330,'Grade Formula'!$A$1:$F$7,5,FALSE)*C330*D330/1000</f>
        <v>14.064</v>
      </c>
      <c r="K330">
        <f>VLOOKUP(B330,'Grade Formula'!$A$1:$F$7,3,FALSE)*C330*D330/1000</f>
        <v>2.64</v>
      </c>
      <c r="L330">
        <f t="shared" si="11"/>
        <v>22</v>
      </c>
    </row>
    <row r="331" spans="1:12" x14ac:dyDescent="0.3">
      <c r="D331" s="3">
        <f>SUM(D2:D330)</f>
        <v>847</v>
      </c>
      <c r="E331" s="3">
        <f>SUM(E2:E330)</f>
        <v>5264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09BC-940E-4C93-A920-87D9D5215461}">
  <dimension ref="A1:G7"/>
  <sheetViews>
    <sheetView workbookViewId="0">
      <selection activeCell="G6" sqref="G6"/>
    </sheetView>
  </sheetViews>
  <sheetFormatPr defaultRowHeight="14.4" x14ac:dyDescent="0.3"/>
  <cols>
    <col min="2" max="2" width="17.109375" customWidth="1"/>
    <col min="3" max="3" width="14.77734375" customWidth="1"/>
    <col min="4" max="4" width="18" customWidth="1"/>
    <col min="5" max="5" width="19.109375" customWidth="1"/>
    <col min="6" max="6" width="10.6640625" customWidth="1"/>
    <col min="7" max="7" width="14.44140625" customWidth="1"/>
  </cols>
  <sheetData>
    <row r="1" spans="1:7" ht="57.6" x14ac:dyDescent="0.3">
      <c r="A1" s="16" t="s">
        <v>14</v>
      </c>
      <c r="B1" s="16" t="s">
        <v>15</v>
      </c>
      <c r="C1" s="16" t="s">
        <v>23</v>
      </c>
      <c r="D1" s="16" t="s">
        <v>24</v>
      </c>
      <c r="E1" s="16" t="s">
        <v>16</v>
      </c>
      <c r="F1" s="16" t="s">
        <v>17</v>
      </c>
      <c r="G1" s="19" t="s">
        <v>79</v>
      </c>
    </row>
    <row r="2" spans="1:7" x14ac:dyDescent="0.3">
      <c r="A2" s="7" t="s">
        <v>7</v>
      </c>
      <c r="B2" s="8">
        <v>210</v>
      </c>
      <c r="C2" s="8">
        <v>0</v>
      </c>
      <c r="D2" s="8">
        <v>773</v>
      </c>
      <c r="E2" s="8">
        <v>660</v>
      </c>
      <c r="F2" s="8">
        <v>490</v>
      </c>
      <c r="G2" s="20">
        <v>4000</v>
      </c>
    </row>
    <row r="3" spans="1:7" x14ac:dyDescent="0.3">
      <c r="A3" s="7" t="s">
        <v>6</v>
      </c>
      <c r="B3" s="8">
        <v>260</v>
      </c>
      <c r="C3" s="8">
        <v>0</v>
      </c>
      <c r="D3" s="8">
        <v>717</v>
      </c>
      <c r="E3" s="8">
        <v>630</v>
      </c>
      <c r="F3" s="8">
        <v>480</v>
      </c>
      <c r="G3" s="20">
        <v>4300</v>
      </c>
    </row>
    <row r="4" spans="1:7" x14ac:dyDescent="0.3">
      <c r="A4" s="7" t="s">
        <v>5</v>
      </c>
      <c r="B4" s="8">
        <v>320</v>
      </c>
      <c r="C4" s="8">
        <v>80</v>
      </c>
      <c r="D4" s="8">
        <v>628</v>
      </c>
      <c r="E4" s="8">
        <v>600</v>
      </c>
      <c r="F4" s="8">
        <v>470</v>
      </c>
      <c r="G4" s="20">
        <v>4700</v>
      </c>
    </row>
    <row r="5" spans="1:7" x14ac:dyDescent="0.3">
      <c r="A5" s="7" t="s">
        <v>3</v>
      </c>
      <c r="B5" s="8">
        <v>230</v>
      </c>
      <c r="C5" s="8">
        <v>100</v>
      </c>
      <c r="D5" s="8">
        <v>672</v>
      </c>
      <c r="E5" s="8">
        <v>595</v>
      </c>
      <c r="F5" s="8">
        <v>470</v>
      </c>
      <c r="G5" s="20">
        <v>5000</v>
      </c>
    </row>
    <row r="6" spans="1:7" x14ac:dyDescent="0.3">
      <c r="A6" s="7" t="s">
        <v>4</v>
      </c>
      <c r="B6" s="8">
        <v>250</v>
      </c>
      <c r="C6" s="8">
        <v>110</v>
      </c>
      <c r="D6" s="8">
        <v>816</v>
      </c>
      <c r="E6" s="8">
        <v>586</v>
      </c>
      <c r="F6" s="8">
        <v>478</v>
      </c>
      <c r="G6" s="20">
        <v>5200</v>
      </c>
    </row>
    <row r="7" spans="1:7" x14ac:dyDescent="0.3">
      <c r="A7" s="7" t="s">
        <v>9</v>
      </c>
      <c r="B7" s="8">
        <v>265</v>
      </c>
      <c r="C7" s="8">
        <v>115</v>
      </c>
      <c r="D7" s="8">
        <v>790</v>
      </c>
      <c r="E7" s="8">
        <v>580</v>
      </c>
      <c r="F7" s="8">
        <v>470</v>
      </c>
      <c r="G7" s="20">
        <v>5450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EF5D-F6F6-45F2-A1EC-2E5A85F1FBD1}">
  <dimension ref="A1:O55"/>
  <sheetViews>
    <sheetView zoomScaleNormal="100" workbookViewId="0">
      <selection activeCell="I10" sqref="I10"/>
    </sheetView>
  </sheetViews>
  <sheetFormatPr defaultRowHeight="14.4" x14ac:dyDescent="0.3"/>
  <cols>
    <col min="1" max="1" width="16.33203125" customWidth="1"/>
    <col min="2" max="2" width="19.33203125" customWidth="1"/>
    <col min="3" max="3" width="19.109375" customWidth="1"/>
    <col min="4" max="4" width="15.21875" customWidth="1"/>
    <col min="5" max="5" width="10.21875" customWidth="1"/>
    <col min="8" max="8" width="21" customWidth="1"/>
    <col min="15" max="15" width="9.5546875" bestFit="1" customWidth="1"/>
  </cols>
  <sheetData>
    <row r="1" spans="1:15" x14ac:dyDescent="0.3">
      <c r="A1" s="2" t="s">
        <v>10</v>
      </c>
      <c r="B1" s="12" t="s">
        <v>11</v>
      </c>
      <c r="C1" s="12" t="s">
        <v>12</v>
      </c>
      <c r="D1" t="s">
        <v>171</v>
      </c>
      <c r="E1" s="12" t="s">
        <v>13</v>
      </c>
      <c r="F1" t="s">
        <v>39</v>
      </c>
      <c r="G1" s="15" t="s">
        <v>41</v>
      </c>
      <c r="H1" s="15" t="s">
        <v>78</v>
      </c>
      <c r="I1" s="14"/>
      <c r="J1" s="14"/>
      <c r="K1" s="14"/>
      <c r="L1" s="14"/>
      <c r="M1" s="14"/>
    </row>
    <row r="2" spans="1:15" x14ac:dyDescent="0.3">
      <c r="A2">
        <v>6313</v>
      </c>
      <c r="B2" s="5">
        <v>0.18472222222222223</v>
      </c>
      <c r="C2" s="5">
        <v>0.2638888888888889</v>
      </c>
      <c r="D2" s="21" t="s">
        <v>162</v>
      </c>
      <c r="E2" s="12">
        <f>C2-B2</f>
        <v>7.9166666666666663E-2</v>
      </c>
      <c r="F2" s="14">
        <v>114</v>
      </c>
      <c r="G2" s="14" t="s">
        <v>42</v>
      </c>
      <c r="H2" s="14" t="str">
        <f>H17</f>
        <v>Morning</v>
      </c>
      <c r="I2" s="14"/>
      <c r="J2" s="14"/>
      <c r="K2" s="14"/>
      <c r="L2" s="14"/>
    </row>
    <row r="3" spans="1:15" x14ac:dyDescent="0.3">
      <c r="A3">
        <v>6590</v>
      </c>
      <c r="B3" s="5">
        <v>0.2013888888888889</v>
      </c>
      <c r="C3" s="5">
        <v>0.3125</v>
      </c>
      <c r="D3" s="21" t="s">
        <v>163</v>
      </c>
      <c r="E3" s="12">
        <f t="shared" ref="E3:E55" si="0">C3-B3</f>
        <v>0.1111111111111111</v>
      </c>
      <c r="F3" s="14">
        <v>160</v>
      </c>
      <c r="G3" s="14" t="s">
        <v>42</v>
      </c>
      <c r="H3" s="14" t="str">
        <f t="shared" ref="H3:H55" si="1">IF(AND(B3&gt;=TIME(3,0,0), B3&lt;TIME(7,0,0)),"Early Morning",
 IF(AND(B3&gt;=TIME(7,0,0), B3&lt;TIME(12,0,0)),"Morning",
 IF(AND(B3&gt;=TIME(12,0,0), B3&lt;TIME(17,0,0)),"Afternoon",
 IF(AND(B3&gt;=TIME(17,0,0), B3&lt;TIME(21,0,0)),"Evening","Night"))))</f>
        <v>Early Morning</v>
      </c>
      <c r="I3" s="14"/>
      <c r="J3" s="14"/>
      <c r="K3" s="14"/>
      <c r="L3" s="14"/>
    </row>
    <row r="4" spans="1:15" x14ac:dyDescent="0.3">
      <c r="A4">
        <v>6316</v>
      </c>
      <c r="B4" s="5">
        <v>0.2013888888888889</v>
      </c>
      <c r="C4" s="5">
        <v>0.30555555555555558</v>
      </c>
      <c r="D4" s="21" t="s">
        <v>164</v>
      </c>
      <c r="E4" s="12">
        <f t="shared" si="0"/>
        <v>0.10416666666666669</v>
      </c>
      <c r="F4" s="14">
        <v>150</v>
      </c>
      <c r="G4" s="14" t="s">
        <v>42</v>
      </c>
      <c r="H4" s="14" t="str">
        <f t="shared" si="1"/>
        <v>Early Morning</v>
      </c>
      <c r="I4" s="14"/>
      <c r="J4" s="14"/>
      <c r="K4" s="14"/>
      <c r="L4" s="14"/>
    </row>
    <row r="5" spans="1:15" x14ac:dyDescent="0.3">
      <c r="A5">
        <v>6591</v>
      </c>
      <c r="B5" s="5">
        <v>0.20833333333333334</v>
      </c>
      <c r="C5" s="5">
        <v>0.30555555555555558</v>
      </c>
      <c r="D5" s="21" t="s">
        <v>165</v>
      </c>
      <c r="E5" s="12">
        <f t="shared" si="0"/>
        <v>9.7222222222222238E-2</v>
      </c>
      <c r="F5" s="14">
        <v>140</v>
      </c>
      <c r="G5" s="14" t="s">
        <v>42</v>
      </c>
      <c r="H5" s="14" t="str">
        <f t="shared" si="1"/>
        <v>Early Morning</v>
      </c>
      <c r="I5" s="14"/>
      <c r="J5" s="14"/>
      <c r="K5" s="14"/>
      <c r="L5" s="14"/>
    </row>
    <row r="6" spans="1:15" x14ac:dyDescent="0.3">
      <c r="A6">
        <v>6892</v>
      </c>
      <c r="B6" s="5">
        <v>0.21527777777777779</v>
      </c>
      <c r="C6" s="5">
        <v>0.33333333333333331</v>
      </c>
      <c r="D6" s="21" t="s">
        <v>166</v>
      </c>
      <c r="E6" s="12">
        <f t="shared" si="0"/>
        <v>0.11805555555555552</v>
      </c>
      <c r="F6" s="14">
        <v>170</v>
      </c>
      <c r="G6" s="14" t="s">
        <v>42</v>
      </c>
      <c r="H6" s="14" t="str">
        <f t="shared" si="1"/>
        <v>Early Morning</v>
      </c>
      <c r="I6" s="14"/>
      <c r="J6" s="14"/>
      <c r="K6" s="14"/>
      <c r="L6" s="14"/>
    </row>
    <row r="7" spans="1:15" x14ac:dyDescent="0.3">
      <c r="A7">
        <v>6315</v>
      </c>
      <c r="B7" s="5">
        <v>0.22291666666666668</v>
      </c>
      <c r="C7" s="5">
        <v>0.31597222222222221</v>
      </c>
      <c r="D7" s="21" t="s">
        <v>167</v>
      </c>
      <c r="E7" s="12">
        <f t="shared" si="0"/>
        <v>9.305555555555553E-2</v>
      </c>
      <c r="F7" s="14">
        <v>134</v>
      </c>
      <c r="G7" s="14" t="s">
        <v>42</v>
      </c>
      <c r="H7" s="14" t="str">
        <f t="shared" si="1"/>
        <v>Early Morning</v>
      </c>
      <c r="I7" s="14"/>
      <c r="J7" s="14"/>
      <c r="K7" s="14"/>
      <c r="L7" s="14"/>
    </row>
    <row r="8" spans="1:15" x14ac:dyDescent="0.3">
      <c r="A8">
        <v>6313</v>
      </c>
      <c r="B8" s="5">
        <v>0.27083333333333331</v>
      </c>
      <c r="C8" s="5">
        <v>0.375</v>
      </c>
      <c r="D8" s="21" t="s">
        <v>162</v>
      </c>
      <c r="E8" s="12">
        <f t="shared" si="0"/>
        <v>0.10416666666666669</v>
      </c>
      <c r="F8" s="14">
        <v>150</v>
      </c>
      <c r="G8" s="14" t="s">
        <v>42</v>
      </c>
      <c r="H8" s="14" t="str">
        <f t="shared" si="1"/>
        <v>Early Morning</v>
      </c>
      <c r="I8" s="14"/>
      <c r="J8" s="14"/>
      <c r="K8" s="14"/>
      <c r="L8" s="14"/>
    </row>
    <row r="9" spans="1:15" x14ac:dyDescent="0.3">
      <c r="A9">
        <v>6316</v>
      </c>
      <c r="B9" s="5">
        <v>0.29166666666666669</v>
      </c>
      <c r="C9" s="5">
        <v>0.375</v>
      </c>
      <c r="D9" s="21" t="s">
        <v>164</v>
      </c>
      <c r="E9" s="12">
        <f t="shared" si="0"/>
        <v>8.3333333333333315E-2</v>
      </c>
      <c r="F9" s="14">
        <v>120</v>
      </c>
      <c r="G9" s="14" t="s">
        <v>42</v>
      </c>
      <c r="H9" s="14" t="str">
        <f>IF(AND(B9&gt;=TIME(3,0,0), B9&lt;TIME(7,0,0)),"Early Morning",
 IF(AND(B9&gt;=TIME(7,0,0), B9&lt;TIME(12,0,0)),"Morning",
 IF(AND(B9&gt;=TIME(12,0,0), B9&lt;TIME(17,0,0)),"Afternoon",
 IF(AND(B9&gt;=TIME(17,0,0), B9&lt;TIME(21,0,0)),"Evening","Night"))))</f>
        <v>Morning</v>
      </c>
      <c r="I9" s="14"/>
      <c r="J9" s="14"/>
      <c r="K9" s="14"/>
      <c r="L9" s="14"/>
      <c r="N9" s="13"/>
    </row>
    <row r="10" spans="1:15" x14ac:dyDescent="0.3">
      <c r="A10">
        <v>6591</v>
      </c>
      <c r="B10" s="5">
        <v>0.3125</v>
      </c>
      <c r="C10" s="5">
        <v>0.4861111111111111</v>
      </c>
      <c r="D10" s="21" t="s">
        <v>165</v>
      </c>
      <c r="E10" s="12">
        <f t="shared" si="0"/>
        <v>0.1736111111111111</v>
      </c>
      <c r="F10" s="14">
        <v>250</v>
      </c>
      <c r="G10" s="14" t="s">
        <v>42</v>
      </c>
      <c r="H10" s="14" t="str">
        <f t="shared" si="1"/>
        <v>Morning</v>
      </c>
      <c r="I10" s="14"/>
      <c r="J10" s="14"/>
      <c r="K10" s="14"/>
      <c r="L10" s="14"/>
      <c r="M10" s="13"/>
      <c r="N10" s="13"/>
      <c r="O10" s="2"/>
    </row>
    <row r="11" spans="1:15" x14ac:dyDescent="0.3">
      <c r="A11">
        <v>6315</v>
      </c>
      <c r="B11" s="5">
        <v>0.31597222222222221</v>
      </c>
      <c r="C11" s="5">
        <v>0.41666666666666669</v>
      </c>
      <c r="D11" s="21" t="s">
        <v>167</v>
      </c>
      <c r="E11" s="12">
        <f t="shared" si="0"/>
        <v>0.10069444444444448</v>
      </c>
      <c r="F11" s="14">
        <v>145</v>
      </c>
      <c r="G11" s="14" t="s">
        <v>42</v>
      </c>
      <c r="H11" s="14" t="str">
        <f t="shared" si="1"/>
        <v>Morning</v>
      </c>
      <c r="I11" s="14"/>
      <c r="J11" s="14"/>
      <c r="K11" s="14"/>
      <c r="L11" s="14"/>
      <c r="N11" s="13"/>
    </row>
    <row r="12" spans="1:15" x14ac:dyDescent="0.3">
      <c r="A12">
        <v>6590</v>
      </c>
      <c r="B12" s="5">
        <v>0.32291666666666669</v>
      </c>
      <c r="C12" s="5">
        <v>0.41666666666666669</v>
      </c>
      <c r="D12" s="21" t="s">
        <v>163</v>
      </c>
      <c r="E12" s="12">
        <f t="shared" si="0"/>
        <v>9.375E-2</v>
      </c>
      <c r="F12" s="14">
        <v>135</v>
      </c>
      <c r="G12" s="14" t="s">
        <v>42</v>
      </c>
      <c r="H12" s="14" t="str">
        <f t="shared" si="1"/>
        <v>Morning</v>
      </c>
      <c r="I12" s="14"/>
      <c r="J12" s="14"/>
      <c r="K12" s="14"/>
      <c r="L12" s="14"/>
    </row>
    <row r="13" spans="1:15" x14ac:dyDescent="0.3">
      <c r="A13">
        <v>6892</v>
      </c>
      <c r="B13" s="5">
        <v>0.33333333333333331</v>
      </c>
      <c r="C13" s="5">
        <v>0.43055555555555558</v>
      </c>
      <c r="D13" s="21" t="s">
        <v>166</v>
      </c>
      <c r="E13" s="12">
        <f t="shared" si="0"/>
        <v>9.7222222222222265E-2</v>
      </c>
      <c r="F13" s="14">
        <v>140</v>
      </c>
      <c r="G13" s="14" t="s">
        <v>42</v>
      </c>
      <c r="H13" s="14" t="str">
        <f t="shared" si="1"/>
        <v>Morning</v>
      </c>
      <c r="I13" s="14"/>
      <c r="J13" s="14"/>
      <c r="K13" s="14"/>
      <c r="L13" s="14"/>
    </row>
    <row r="14" spans="1:15" x14ac:dyDescent="0.3">
      <c r="A14">
        <v>6316</v>
      </c>
      <c r="B14" s="5">
        <v>0.375</v>
      </c>
      <c r="C14" s="5">
        <v>0.51388888888888884</v>
      </c>
      <c r="D14" s="21" t="s">
        <v>164</v>
      </c>
      <c r="E14" s="12">
        <f t="shared" si="0"/>
        <v>0.13888888888888884</v>
      </c>
      <c r="F14" s="14">
        <v>200</v>
      </c>
      <c r="G14" s="14" t="s">
        <v>42</v>
      </c>
      <c r="H14" s="14" t="str">
        <f t="shared" si="1"/>
        <v>Morning</v>
      </c>
      <c r="I14" s="14"/>
      <c r="J14" s="14"/>
      <c r="K14" s="14"/>
      <c r="L14" s="14"/>
    </row>
    <row r="15" spans="1:15" x14ac:dyDescent="0.3">
      <c r="A15">
        <v>6313</v>
      </c>
      <c r="B15" s="5">
        <v>0.38194444444444442</v>
      </c>
      <c r="C15" s="5">
        <v>0.52083333333333337</v>
      </c>
      <c r="D15" s="21" t="s">
        <v>162</v>
      </c>
      <c r="E15" s="12">
        <f t="shared" si="0"/>
        <v>0.13888888888888895</v>
      </c>
      <c r="F15" s="14">
        <v>200</v>
      </c>
      <c r="G15" s="14" t="s">
        <v>42</v>
      </c>
      <c r="H15" s="14" t="str">
        <f t="shared" si="1"/>
        <v>Morning</v>
      </c>
      <c r="I15" s="14"/>
      <c r="J15" s="14"/>
      <c r="K15" s="14"/>
      <c r="L15" s="14"/>
    </row>
    <row r="16" spans="1:15" x14ac:dyDescent="0.3">
      <c r="A16">
        <v>6315</v>
      </c>
      <c r="B16" s="5">
        <v>0.41666666666666669</v>
      </c>
      <c r="C16" s="5">
        <v>0.54166666666666663</v>
      </c>
      <c r="D16" s="21" t="s">
        <v>167</v>
      </c>
      <c r="E16" s="12">
        <f t="shared" si="0"/>
        <v>0.12499999999999994</v>
      </c>
      <c r="F16" s="14">
        <v>180</v>
      </c>
      <c r="G16" s="14" t="s">
        <v>42</v>
      </c>
      <c r="H16" s="14" t="str">
        <f t="shared" si="1"/>
        <v>Morning</v>
      </c>
      <c r="I16" s="14"/>
      <c r="J16" s="14"/>
      <c r="K16" s="14"/>
      <c r="L16" s="14"/>
    </row>
    <row r="17" spans="1:12" x14ac:dyDescent="0.3">
      <c r="A17">
        <v>6590</v>
      </c>
      <c r="B17" s="5">
        <v>0.43055555555555558</v>
      </c>
      <c r="C17" s="5">
        <v>0.59722222222222221</v>
      </c>
      <c r="D17" s="21" t="s">
        <v>163</v>
      </c>
      <c r="E17" s="12">
        <f t="shared" si="0"/>
        <v>0.16666666666666663</v>
      </c>
      <c r="F17" s="14">
        <v>240</v>
      </c>
      <c r="G17" s="14" t="s">
        <v>42</v>
      </c>
      <c r="H17" s="14" t="str">
        <f t="shared" si="1"/>
        <v>Morning</v>
      </c>
      <c r="I17" s="14"/>
      <c r="J17" s="14"/>
      <c r="K17" s="14"/>
      <c r="L17" s="14"/>
    </row>
    <row r="18" spans="1:12" x14ac:dyDescent="0.3">
      <c r="A18">
        <v>6892</v>
      </c>
      <c r="B18" s="5">
        <v>0.44097222222222221</v>
      </c>
      <c r="C18" s="5">
        <v>0.63194444444444442</v>
      </c>
      <c r="D18" s="21" t="s">
        <v>166</v>
      </c>
      <c r="E18" s="12">
        <f t="shared" si="0"/>
        <v>0.19097222222222221</v>
      </c>
      <c r="F18" s="14">
        <v>275</v>
      </c>
      <c r="G18" s="14" t="s">
        <v>42</v>
      </c>
      <c r="H18" s="14" t="str">
        <f t="shared" si="1"/>
        <v>Morning</v>
      </c>
      <c r="I18" s="14"/>
      <c r="J18" s="14"/>
      <c r="K18" s="14"/>
      <c r="L18" s="14"/>
    </row>
    <row r="19" spans="1:12" x14ac:dyDescent="0.3">
      <c r="A19">
        <v>6591</v>
      </c>
      <c r="B19" s="5">
        <v>0.45833333333333331</v>
      </c>
      <c r="C19" s="5">
        <v>0.58333333333333337</v>
      </c>
      <c r="D19" s="21" t="s">
        <v>165</v>
      </c>
      <c r="E19" s="12">
        <f t="shared" si="0"/>
        <v>0.12500000000000006</v>
      </c>
      <c r="F19" s="14">
        <v>180</v>
      </c>
      <c r="G19" s="14" t="s">
        <v>42</v>
      </c>
      <c r="H19" s="14" t="str">
        <f t="shared" si="1"/>
        <v>Morning</v>
      </c>
      <c r="I19" s="14"/>
      <c r="J19" s="14"/>
      <c r="K19" s="14"/>
      <c r="L19" s="14"/>
    </row>
    <row r="20" spans="1:12" x14ac:dyDescent="0.3">
      <c r="A20">
        <v>1476</v>
      </c>
      <c r="B20" s="5">
        <v>0.4861111111111111</v>
      </c>
      <c r="C20" s="5">
        <v>0.625</v>
      </c>
      <c r="D20" s="21" t="s">
        <v>168</v>
      </c>
      <c r="E20" s="12">
        <f t="shared" si="0"/>
        <v>0.1388888888888889</v>
      </c>
      <c r="F20" s="14">
        <v>200</v>
      </c>
      <c r="G20" s="14" t="s">
        <v>42</v>
      </c>
      <c r="H20" s="14" t="str">
        <f t="shared" si="1"/>
        <v>Morning</v>
      </c>
      <c r="I20" s="14"/>
      <c r="J20" s="14"/>
      <c r="K20" s="14"/>
      <c r="L20" s="14"/>
    </row>
    <row r="21" spans="1:12" x14ac:dyDescent="0.3">
      <c r="A21">
        <v>529</v>
      </c>
      <c r="B21" s="5">
        <v>0.5</v>
      </c>
      <c r="C21" s="5">
        <v>0.63888888888888884</v>
      </c>
      <c r="D21" s="21" t="s">
        <v>169</v>
      </c>
      <c r="E21" s="12">
        <f t="shared" si="0"/>
        <v>0.13888888888888884</v>
      </c>
      <c r="F21" s="14">
        <v>200</v>
      </c>
      <c r="G21" s="14" t="s">
        <v>42</v>
      </c>
      <c r="H21" s="14" t="str">
        <f t="shared" si="1"/>
        <v>Afternoon</v>
      </c>
      <c r="I21" s="14"/>
      <c r="J21" s="14"/>
      <c r="K21" s="14"/>
      <c r="L21" s="14"/>
    </row>
    <row r="22" spans="1:12" x14ac:dyDescent="0.3">
      <c r="A22">
        <v>6316</v>
      </c>
      <c r="B22" s="5">
        <v>0.52083333333333337</v>
      </c>
      <c r="C22" s="5">
        <v>0.64583333333333337</v>
      </c>
      <c r="D22" s="21" t="s">
        <v>164</v>
      </c>
      <c r="E22" s="12">
        <f t="shared" si="0"/>
        <v>0.125</v>
      </c>
      <c r="F22" s="14">
        <v>180</v>
      </c>
      <c r="G22" s="14" t="s">
        <v>42</v>
      </c>
      <c r="H22" s="14" t="str">
        <f t="shared" si="1"/>
        <v>Afternoon</v>
      </c>
      <c r="I22" s="14"/>
      <c r="J22" s="14"/>
      <c r="K22" s="14"/>
      <c r="L22" s="14"/>
    </row>
    <row r="23" spans="1:12" x14ac:dyDescent="0.3">
      <c r="A23">
        <v>6313</v>
      </c>
      <c r="B23" s="5">
        <v>0.52777777777777779</v>
      </c>
      <c r="C23" s="5">
        <v>0.65277777777777779</v>
      </c>
      <c r="D23" s="21" t="s">
        <v>162</v>
      </c>
      <c r="E23" s="12">
        <f t="shared" si="0"/>
        <v>0.125</v>
      </c>
      <c r="F23" s="14">
        <v>180</v>
      </c>
      <c r="G23" s="14" t="s">
        <v>42</v>
      </c>
      <c r="H23" s="14" t="str">
        <f t="shared" si="1"/>
        <v>Afternoon</v>
      </c>
      <c r="I23" s="14"/>
      <c r="J23" s="14"/>
      <c r="K23" s="14"/>
      <c r="L23" s="14"/>
    </row>
    <row r="24" spans="1:12" x14ac:dyDescent="0.3">
      <c r="A24">
        <v>6315</v>
      </c>
      <c r="B24" s="5">
        <v>0.55555555555555558</v>
      </c>
      <c r="C24" s="5">
        <v>0.65972222222222221</v>
      </c>
      <c r="D24" s="21" t="s">
        <v>167</v>
      </c>
      <c r="E24" s="12">
        <f t="shared" si="0"/>
        <v>0.10416666666666663</v>
      </c>
      <c r="F24" s="14">
        <v>150</v>
      </c>
      <c r="G24" s="14" t="s">
        <v>42</v>
      </c>
      <c r="H24" s="14" t="str">
        <f t="shared" si="1"/>
        <v>Afternoon</v>
      </c>
      <c r="I24" s="14"/>
      <c r="J24" s="14"/>
      <c r="K24" s="14"/>
      <c r="L24" s="14"/>
    </row>
    <row r="25" spans="1:12" x14ac:dyDescent="0.3">
      <c r="A25">
        <v>6591</v>
      </c>
      <c r="B25" s="5">
        <v>0.58333333333333337</v>
      </c>
      <c r="C25" s="5">
        <v>0.70833333333333337</v>
      </c>
      <c r="D25" s="21" t="s">
        <v>165</v>
      </c>
      <c r="E25" s="12">
        <f t="shared" si="0"/>
        <v>0.125</v>
      </c>
      <c r="F25" s="14">
        <v>180</v>
      </c>
      <c r="G25" s="14" t="s">
        <v>42</v>
      </c>
      <c r="H25" s="14" t="str">
        <f t="shared" si="1"/>
        <v>Afternoon</v>
      </c>
      <c r="I25" s="14"/>
      <c r="J25" s="14"/>
      <c r="K25" s="14"/>
      <c r="L25" s="14"/>
    </row>
    <row r="26" spans="1:12" x14ac:dyDescent="0.3">
      <c r="A26">
        <v>6590</v>
      </c>
      <c r="B26" s="5">
        <v>0.60416666666666663</v>
      </c>
      <c r="C26" s="5">
        <v>0.70138888888888884</v>
      </c>
      <c r="D26" s="21" t="s">
        <v>163</v>
      </c>
      <c r="E26" s="12">
        <f t="shared" si="0"/>
        <v>9.722222222222221E-2</v>
      </c>
      <c r="F26" s="14">
        <v>140</v>
      </c>
      <c r="G26" s="14" t="s">
        <v>42</v>
      </c>
      <c r="H26" s="14" t="str">
        <f t="shared" si="1"/>
        <v>Afternoon</v>
      </c>
      <c r="I26" s="14"/>
      <c r="J26" s="14"/>
      <c r="K26" s="14"/>
      <c r="L26" s="14"/>
    </row>
    <row r="27" spans="1:12" x14ac:dyDescent="0.3">
      <c r="A27">
        <v>1476</v>
      </c>
      <c r="B27" s="5">
        <v>0.625</v>
      </c>
      <c r="C27" s="5">
        <v>0.70486111111111116</v>
      </c>
      <c r="D27" s="21" t="s">
        <v>168</v>
      </c>
      <c r="E27" s="12">
        <f t="shared" si="0"/>
        <v>7.986111111111116E-2</v>
      </c>
      <c r="F27" s="14">
        <v>115</v>
      </c>
      <c r="G27" s="14" t="s">
        <v>42</v>
      </c>
      <c r="H27" s="14" t="str">
        <f t="shared" si="1"/>
        <v>Afternoon</v>
      </c>
      <c r="I27" s="14"/>
      <c r="J27" s="14"/>
      <c r="K27" s="14"/>
      <c r="L27" s="14"/>
    </row>
    <row r="28" spans="1:12" x14ac:dyDescent="0.3">
      <c r="A28">
        <v>6892</v>
      </c>
      <c r="B28" s="5">
        <v>0.63194444444444442</v>
      </c>
      <c r="C28" s="5">
        <v>0.73263888888888884</v>
      </c>
      <c r="D28" s="21" t="s">
        <v>166</v>
      </c>
      <c r="E28" s="12">
        <f t="shared" si="0"/>
        <v>0.10069444444444442</v>
      </c>
      <c r="F28" s="14">
        <v>145</v>
      </c>
      <c r="G28" s="14" t="s">
        <v>42</v>
      </c>
      <c r="H28" s="14" t="str">
        <f t="shared" si="1"/>
        <v>Afternoon</v>
      </c>
      <c r="I28" s="14"/>
      <c r="J28" s="14"/>
      <c r="K28" s="14"/>
      <c r="L28" s="14"/>
    </row>
    <row r="29" spans="1:12" x14ac:dyDescent="0.3">
      <c r="A29">
        <v>529</v>
      </c>
      <c r="B29" s="5">
        <v>0.63888888888888884</v>
      </c>
      <c r="C29" s="5">
        <v>0.72916666666666663</v>
      </c>
      <c r="D29" s="21" t="s">
        <v>169</v>
      </c>
      <c r="E29" s="12">
        <f t="shared" si="0"/>
        <v>9.027777777777779E-2</v>
      </c>
      <c r="F29" s="14">
        <v>130</v>
      </c>
      <c r="G29" s="14" t="s">
        <v>42</v>
      </c>
      <c r="H29" s="14" t="str">
        <f t="shared" si="1"/>
        <v>Afternoon</v>
      </c>
      <c r="I29" s="14"/>
      <c r="J29" s="14"/>
      <c r="K29" s="14"/>
      <c r="L29" s="14"/>
    </row>
    <row r="30" spans="1:12" x14ac:dyDescent="0.3">
      <c r="A30">
        <v>6316</v>
      </c>
      <c r="B30" s="5">
        <v>0.64583333333333337</v>
      </c>
      <c r="C30" s="5">
        <v>0.74652777777777779</v>
      </c>
      <c r="D30" s="21" t="s">
        <v>164</v>
      </c>
      <c r="E30" s="12">
        <f t="shared" si="0"/>
        <v>0.10069444444444442</v>
      </c>
      <c r="F30" s="14">
        <v>145</v>
      </c>
      <c r="G30" s="14" t="s">
        <v>42</v>
      </c>
      <c r="H30" s="14" t="str">
        <f t="shared" si="1"/>
        <v>Afternoon</v>
      </c>
      <c r="I30" s="14"/>
      <c r="J30" s="14"/>
      <c r="K30" s="14"/>
      <c r="L30" s="14"/>
    </row>
    <row r="31" spans="1:12" x14ac:dyDescent="0.3">
      <c r="A31">
        <v>6313</v>
      </c>
      <c r="B31" s="5">
        <v>0.65277777777777779</v>
      </c>
      <c r="C31" s="5">
        <v>0.75</v>
      </c>
      <c r="D31" s="21" t="s">
        <v>162</v>
      </c>
      <c r="E31" s="12">
        <f t="shared" si="0"/>
        <v>9.722222222222221E-2</v>
      </c>
      <c r="F31" s="14">
        <v>140</v>
      </c>
      <c r="G31" s="14" t="s">
        <v>42</v>
      </c>
      <c r="H31" s="14" t="str">
        <f t="shared" si="1"/>
        <v>Afternoon</v>
      </c>
      <c r="I31" s="14"/>
      <c r="J31" s="14"/>
      <c r="K31" s="14"/>
      <c r="L31" s="14"/>
    </row>
    <row r="32" spans="1:12" x14ac:dyDescent="0.3">
      <c r="A32">
        <v>6315</v>
      </c>
      <c r="B32" s="5">
        <v>0.65972222222222221</v>
      </c>
      <c r="C32" s="5">
        <v>0.75</v>
      </c>
      <c r="D32" s="21" t="s">
        <v>167</v>
      </c>
      <c r="E32" s="12">
        <f>C32-B32</f>
        <v>9.027777777777779E-2</v>
      </c>
      <c r="F32" s="14">
        <v>130</v>
      </c>
      <c r="G32" s="14" t="s">
        <v>42</v>
      </c>
      <c r="H32" s="14" t="str">
        <f t="shared" si="1"/>
        <v>Afternoon</v>
      </c>
      <c r="I32" s="14"/>
      <c r="J32" s="14"/>
      <c r="K32" s="14"/>
      <c r="L32" s="14"/>
    </row>
    <row r="33" spans="1:12" x14ac:dyDescent="0.3">
      <c r="A33">
        <v>6590</v>
      </c>
      <c r="B33" s="5">
        <v>0.70138888888888884</v>
      </c>
      <c r="C33" s="5">
        <v>0.83333333333333337</v>
      </c>
      <c r="D33" s="21" t="s">
        <v>163</v>
      </c>
      <c r="E33" s="12">
        <f t="shared" si="0"/>
        <v>0.13194444444444453</v>
      </c>
      <c r="F33" s="14">
        <v>190</v>
      </c>
      <c r="G33" s="14" t="s">
        <v>42</v>
      </c>
      <c r="H33" s="14" t="str">
        <f t="shared" si="1"/>
        <v>Afternoon</v>
      </c>
      <c r="I33" s="14"/>
      <c r="J33" s="14"/>
      <c r="K33" s="14"/>
      <c r="L33" s="14"/>
    </row>
    <row r="34" spans="1:12" x14ac:dyDescent="0.3">
      <c r="A34">
        <v>1476</v>
      </c>
      <c r="B34" s="5">
        <v>0.70486111111111116</v>
      </c>
      <c r="C34" s="5">
        <v>0.85416666666666663</v>
      </c>
      <c r="D34" s="21" t="s">
        <v>168</v>
      </c>
      <c r="E34" s="12">
        <f t="shared" si="0"/>
        <v>0.14930555555555547</v>
      </c>
      <c r="F34" s="14">
        <v>215</v>
      </c>
      <c r="G34" s="14" t="s">
        <v>42</v>
      </c>
      <c r="H34" s="14" t="str">
        <f t="shared" si="1"/>
        <v>Afternoon</v>
      </c>
      <c r="I34" s="14"/>
      <c r="J34" s="14"/>
      <c r="K34" s="14"/>
      <c r="L34" s="14"/>
    </row>
    <row r="35" spans="1:12" x14ac:dyDescent="0.3">
      <c r="A35">
        <v>6591</v>
      </c>
      <c r="B35" s="5">
        <v>0.70833333333333337</v>
      </c>
      <c r="C35" s="5">
        <v>0.85069444444444442</v>
      </c>
      <c r="D35" s="21" t="s">
        <v>165</v>
      </c>
      <c r="E35" s="12">
        <f t="shared" si="0"/>
        <v>0.14236111111111105</v>
      </c>
      <c r="F35" s="14">
        <v>205</v>
      </c>
      <c r="G35" s="14" t="s">
        <v>42</v>
      </c>
      <c r="H35" s="14" t="str">
        <f t="shared" si="1"/>
        <v>Evening</v>
      </c>
      <c r="I35" s="14"/>
      <c r="J35" s="14"/>
      <c r="K35" s="14"/>
      <c r="L35" s="14"/>
    </row>
    <row r="36" spans="1:12" x14ac:dyDescent="0.3">
      <c r="A36">
        <v>6892</v>
      </c>
      <c r="B36" s="5">
        <v>0.73263888888888884</v>
      </c>
      <c r="C36" s="5">
        <v>0.86458333333333337</v>
      </c>
      <c r="D36" s="21" t="s">
        <v>166</v>
      </c>
      <c r="E36" s="12">
        <f t="shared" si="0"/>
        <v>0.13194444444444453</v>
      </c>
      <c r="F36" s="14">
        <v>190</v>
      </c>
      <c r="G36" s="14" t="s">
        <v>42</v>
      </c>
      <c r="H36" s="14" t="str">
        <f t="shared" si="1"/>
        <v>Evening</v>
      </c>
      <c r="I36" s="14"/>
      <c r="J36" s="14"/>
      <c r="K36" s="14"/>
      <c r="L36" s="14"/>
    </row>
    <row r="37" spans="1:12" x14ac:dyDescent="0.3">
      <c r="A37">
        <v>6316</v>
      </c>
      <c r="B37" s="5">
        <v>0.74652777777777779</v>
      </c>
      <c r="C37" s="5">
        <v>0.84791666666666665</v>
      </c>
      <c r="D37" s="21" t="s">
        <v>164</v>
      </c>
      <c r="E37" s="12">
        <f t="shared" si="0"/>
        <v>0.10138888888888886</v>
      </c>
      <c r="F37" s="14">
        <v>146</v>
      </c>
      <c r="G37" s="14" t="s">
        <v>42</v>
      </c>
      <c r="H37" s="14" t="str">
        <f t="shared" si="1"/>
        <v>Evening</v>
      </c>
      <c r="I37" s="14"/>
      <c r="J37" s="14"/>
      <c r="K37" s="14"/>
      <c r="L37" s="14"/>
    </row>
    <row r="38" spans="1:12" x14ac:dyDescent="0.3">
      <c r="A38">
        <v>6313</v>
      </c>
      <c r="B38" s="5">
        <v>0.75</v>
      </c>
      <c r="C38" s="5">
        <v>0.875</v>
      </c>
      <c r="D38" s="21" t="s">
        <v>162</v>
      </c>
      <c r="E38" s="12">
        <f t="shared" si="0"/>
        <v>0.125</v>
      </c>
      <c r="F38" s="14">
        <v>180</v>
      </c>
      <c r="G38" s="14" t="s">
        <v>42</v>
      </c>
      <c r="H38" s="14" t="str">
        <f t="shared" si="1"/>
        <v>Evening</v>
      </c>
      <c r="I38" s="14"/>
      <c r="J38" s="14"/>
      <c r="K38" s="14"/>
      <c r="L38" s="14"/>
    </row>
    <row r="39" spans="1:12" x14ac:dyDescent="0.3">
      <c r="A39">
        <v>6315</v>
      </c>
      <c r="B39" s="5">
        <v>0.875</v>
      </c>
      <c r="C39" s="5">
        <v>0.91319444444444442</v>
      </c>
      <c r="D39" s="21" t="s">
        <v>167</v>
      </c>
      <c r="E39" s="12">
        <f t="shared" si="0"/>
        <v>3.819444444444442E-2</v>
      </c>
      <c r="F39" s="14">
        <v>55</v>
      </c>
      <c r="G39" s="14" t="s">
        <v>42</v>
      </c>
      <c r="H39" s="14" t="str">
        <f t="shared" si="1"/>
        <v>Night</v>
      </c>
      <c r="I39" s="14"/>
      <c r="J39" s="14"/>
      <c r="K39" s="14"/>
      <c r="L39" s="14"/>
    </row>
    <row r="40" spans="1:12" x14ac:dyDescent="0.3">
      <c r="A40">
        <v>6892</v>
      </c>
      <c r="B40" s="5">
        <v>0.3125</v>
      </c>
      <c r="C40" s="5">
        <v>0.33333333333333331</v>
      </c>
      <c r="D40" s="21" t="s">
        <v>170</v>
      </c>
      <c r="E40" s="12">
        <f t="shared" si="0"/>
        <v>2.0833333333333315E-2</v>
      </c>
      <c r="F40" s="14">
        <v>30</v>
      </c>
      <c r="G40" s="14" t="s">
        <v>43</v>
      </c>
      <c r="H40" s="14" t="str">
        <f t="shared" si="1"/>
        <v>Morning</v>
      </c>
    </row>
    <row r="41" spans="1:12" x14ac:dyDescent="0.3">
      <c r="A41">
        <v>6590</v>
      </c>
      <c r="B41" s="5">
        <v>0.31597222222222221</v>
      </c>
      <c r="C41" s="5">
        <v>0.34027777777777779</v>
      </c>
      <c r="D41" s="21" t="s">
        <v>163</v>
      </c>
      <c r="E41" s="12">
        <f t="shared" si="0"/>
        <v>2.430555555555558E-2</v>
      </c>
      <c r="F41" s="14">
        <v>35</v>
      </c>
      <c r="G41" s="14" t="s">
        <v>43</v>
      </c>
      <c r="H41" s="14" t="str">
        <f t="shared" si="1"/>
        <v>Morning</v>
      </c>
    </row>
    <row r="42" spans="1:12" x14ac:dyDescent="0.3">
      <c r="A42">
        <v>6591</v>
      </c>
      <c r="B42" s="5">
        <v>0.31944444444444442</v>
      </c>
      <c r="C42" s="5">
        <v>0.34722222222222221</v>
      </c>
      <c r="D42" s="21" t="s">
        <v>165</v>
      </c>
      <c r="E42" s="12">
        <f t="shared" si="0"/>
        <v>2.777777777777779E-2</v>
      </c>
      <c r="F42" s="14">
        <v>40</v>
      </c>
      <c r="G42" s="14" t="s">
        <v>43</v>
      </c>
      <c r="H42" s="14" t="str">
        <f t="shared" si="1"/>
        <v>Morning</v>
      </c>
    </row>
    <row r="43" spans="1:12" x14ac:dyDescent="0.3">
      <c r="A43">
        <v>6315</v>
      </c>
      <c r="B43" s="5">
        <v>0.3263888888888889</v>
      </c>
      <c r="C43" s="5">
        <v>0.3611111111111111</v>
      </c>
      <c r="D43" s="21" t="s">
        <v>167</v>
      </c>
      <c r="E43" s="12">
        <f t="shared" si="0"/>
        <v>3.472222222222221E-2</v>
      </c>
      <c r="F43" s="14">
        <v>50</v>
      </c>
      <c r="G43" s="14" t="s">
        <v>43</v>
      </c>
      <c r="H43" s="14" t="str">
        <f t="shared" si="1"/>
        <v>Morning</v>
      </c>
    </row>
    <row r="44" spans="1:12" x14ac:dyDescent="0.3">
      <c r="A44">
        <v>6313</v>
      </c>
      <c r="B44" s="5">
        <v>0.33333333333333331</v>
      </c>
      <c r="C44" s="5">
        <v>0.36458333333333331</v>
      </c>
      <c r="D44" s="21" t="s">
        <v>166</v>
      </c>
      <c r="E44" s="12">
        <f t="shared" si="0"/>
        <v>3.125E-2</v>
      </c>
      <c r="F44" s="14">
        <v>45</v>
      </c>
      <c r="G44" s="14" t="s">
        <v>43</v>
      </c>
      <c r="H44" s="14" t="str">
        <f t="shared" si="1"/>
        <v>Morning</v>
      </c>
    </row>
    <row r="45" spans="1:12" x14ac:dyDescent="0.3">
      <c r="A45">
        <v>6892</v>
      </c>
      <c r="B45" s="5">
        <v>0.34027777777777779</v>
      </c>
      <c r="C45" s="5">
        <v>0.36805555555555558</v>
      </c>
      <c r="D45" s="21" t="s">
        <v>170</v>
      </c>
      <c r="E45" s="12">
        <f t="shared" si="0"/>
        <v>2.777777777777779E-2</v>
      </c>
      <c r="F45" s="14">
        <v>40</v>
      </c>
      <c r="G45" s="14" t="s">
        <v>43</v>
      </c>
      <c r="H45" s="14" t="str">
        <f t="shared" si="1"/>
        <v>Morning</v>
      </c>
    </row>
    <row r="46" spans="1:12" x14ac:dyDescent="0.3">
      <c r="A46">
        <v>6590</v>
      </c>
      <c r="B46" s="5">
        <v>0.34722222222222221</v>
      </c>
      <c r="C46" s="5">
        <v>0.38194444444444442</v>
      </c>
      <c r="D46" s="21" t="s">
        <v>163</v>
      </c>
      <c r="E46" s="12">
        <f t="shared" si="0"/>
        <v>3.472222222222221E-2</v>
      </c>
      <c r="F46" s="14">
        <v>50</v>
      </c>
      <c r="G46" s="14" t="s">
        <v>43</v>
      </c>
      <c r="H46" s="14" t="str">
        <f t="shared" si="1"/>
        <v>Morning</v>
      </c>
    </row>
    <row r="47" spans="1:12" x14ac:dyDescent="0.3">
      <c r="A47">
        <v>6591</v>
      </c>
      <c r="B47" s="5">
        <v>0.35416666666666669</v>
      </c>
      <c r="C47" s="5">
        <v>0.38194444444444442</v>
      </c>
      <c r="D47" s="21" t="s">
        <v>165</v>
      </c>
      <c r="E47" s="12">
        <f t="shared" si="0"/>
        <v>2.7777777777777735E-2</v>
      </c>
      <c r="F47" s="14">
        <v>40</v>
      </c>
      <c r="G47" s="14" t="s">
        <v>43</v>
      </c>
      <c r="H47" s="14" t="str">
        <f t="shared" si="1"/>
        <v>Morning</v>
      </c>
    </row>
    <row r="48" spans="1:12" x14ac:dyDescent="0.3">
      <c r="A48">
        <v>6315</v>
      </c>
      <c r="B48" s="5">
        <v>0.37430555555555556</v>
      </c>
      <c r="C48" s="5">
        <v>0.38541666666666669</v>
      </c>
      <c r="D48" s="21" t="s">
        <v>167</v>
      </c>
      <c r="E48" s="12">
        <f t="shared" si="0"/>
        <v>1.1111111111111127E-2</v>
      </c>
      <c r="F48" s="14">
        <v>16</v>
      </c>
      <c r="G48" s="14" t="s">
        <v>43</v>
      </c>
      <c r="H48" s="14" t="str">
        <f t="shared" si="1"/>
        <v>Morning</v>
      </c>
    </row>
    <row r="49" spans="1:8" x14ac:dyDescent="0.3">
      <c r="A49">
        <v>6313</v>
      </c>
      <c r="B49" s="5">
        <v>0.38194444444444442</v>
      </c>
      <c r="C49" s="5">
        <v>0.3888888888888889</v>
      </c>
      <c r="D49" s="21" t="s">
        <v>166</v>
      </c>
      <c r="E49" s="12">
        <f t="shared" si="0"/>
        <v>6.9444444444444753E-3</v>
      </c>
      <c r="F49" s="14">
        <v>10</v>
      </c>
      <c r="G49" s="14" t="s">
        <v>43</v>
      </c>
      <c r="H49" s="14" t="str">
        <f t="shared" si="1"/>
        <v>Morning</v>
      </c>
    </row>
    <row r="50" spans="1:8" x14ac:dyDescent="0.3">
      <c r="A50">
        <v>6316</v>
      </c>
      <c r="B50" s="5">
        <v>0.3888888888888889</v>
      </c>
      <c r="C50" s="5">
        <v>0.42708333333333331</v>
      </c>
      <c r="D50" s="21" t="s">
        <v>162</v>
      </c>
      <c r="E50" s="12">
        <f t="shared" si="0"/>
        <v>3.819444444444442E-2</v>
      </c>
      <c r="F50" s="14">
        <v>55</v>
      </c>
      <c r="G50" s="14" t="s">
        <v>43</v>
      </c>
      <c r="H50" s="14" t="str">
        <f t="shared" si="1"/>
        <v>Morning</v>
      </c>
    </row>
    <row r="51" spans="1:8" x14ac:dyDescent="0.3">
      <c r="A51">
        <v>6892</v>
      </c>
      <c r="B51" s="5">
        <v>0.39583333333333331</v>
      </c>
      <c r="C51" s="5">
        <v>0.43055555555555558</v>
      </c>
      <c r="D51" s="21" t="s">
        <v>170</v>
      </c>
      <c r="E51" s="12">
        <f t="shared" si="0"/>
        <v>3.4722222222222265E-2</v>
      </c>
      <c r="F51" s="14">
        <v>50</v>
      </c>
      <c r="G51" s="14" t="s">
        <v>43</v>
      </c>
      <c r="H51" s="14" t="str">
        <f t="shared" si="1"/>
        <v>Morning</v>
      </c>
    </row>
    <row r="52" spans="1:8" x14ac:dyDescent="0.3">
      <c r="A52">
        <v>6590</v>
      </c>
      <c r="B52" s="5">
        <v>0.40277777777777779</v>
      </c>
      <c r="C52" s="5">
        <v>0.4375</v>
      </c>
      <c r="D52" s="21" t="s">
        <v>163</v>
      </c>
      <c r="E52" s="12">
        <f t="shared" si="0"/>
        <v>3.472222222222221E-2</v>
      </c>
      <c r="F52" s="14">
        <v>50</v>
      </c>
      <c r="G52" s="14" t="s">
        <v>43</v>
      </c>
      <c r="H52" s="14" t="str">
        <f t="shared" si="1"/>
        <v>Morning</v>
      </c>
    </row>
    <row r="53" spans="1:8" x14ac:dyDescent="0.3">
      <c r="A53">
        <v>6591</v>
      </c>
      <c r="B53" s="5">
        <v>0.40972222222222221</v>
      </c>
      <c r="C53" s="5">
        <v>0.44444444444444442</v>
      </c>
      <c r="D53" s="21" t="s">
        <v>165</v>
      </c>
      <c r="E53" s="12">
        <f t="shared" si="0"/>
        <v>3.472222222222221E-2</v>
      </c>
      <c r="F53" s="14">
        <v>50</v>
      </c>
      <c r="G53" s="14" t="s">
        <v>43</v>
      </c>
      <c r="H53" s="14" t="str">
        <f t="shared" si="1"/>
        <v>Morning</v>
      </c>
    </row>
    <row r="54" spans="1:8" x14ac:dyDescent="0.3">
      <c r="A54">
        <v>6315</v>
      </c>
      <c r="B54" s="5">
        <v>0.41666666666666669</v>
      </c>
      <c r="C54" s="5">
        <v>0.45833333333333331</v>
      </c>
      <c r="D54" s="21" t="s">
        <v>167</v>
      </c>
      <c r="E54" s="12">
        <f t="shared" si="0"/>
        <v>4.166666666666663E-2</v>
      </c>
      <c r="F54" s="14">
        <v>60</v>
      </c>
      <c r="G54" s="14" t="s">
        <v>43</v>
      </c>
      <c r="H54" s="14" t="str">
        <f t="shared" si="1"/>
        <v>Morning</v>
      </c>
    </row>
    <row r="55" spans="1:8" x14ac:dyDescent="0.3">
      <c r="A55">
        <v>6313</v>
      </c>
      <c r="B55" s="5">
        <v>0.4236111111111111</v>
      </c>
      <c r="C55" s="5">
        <v>0.46527777777777779</v>
      </c>
      <c r="D55" s="21" t="s">
        <v>166</v>
      </c>
      <c r="E55" s="12">
        <f t="shared" si="0"/>
        <v>4.1666666666666685E-2</v>
      </c>
      <c r="F55" s="14">
        <v>60</v>
      </c>
      <c r="G55" s="14" t="s">
        <v>43</v>
      </c>
      <c r="H55" s="14" t="str">
        <f t="shared" si="1"/>
        <v>Morning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D443-34E5-4869-ADA5-5E210E682B9F}">
  <dimension ref="A1:AC99"/>
  <sheetViews>
    <sheetView zoomScale="88" zoomScaleNormal="100" workbookViewId="0">
      <selection activeCell="H35" sqref="H35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11.44140625" bestFit="1" customWidth="1"/>
    <col min="4" max="5" width="12.77734375" bestFit="1" customWidth="1"/>
    <col min="6" max="6" width="12.44140625" bestFit="1" customWidth="1"/>
    <col min="7" max="7" width="11.33203125" bestFit="1" customWidth="1"/>
    <col min="9" max="9" width="13.21875" bestFit="1" customWidth="1"/>
    <col min="10" max="10" width="23.88671875" bestFit="1" customWidth="1"/>
    <col min="11" max="11" width="8.88671875" customWidth="1"/>
    <col min="12" max="12" width="8.21875" customWidth="1"/>
    <col min="13" max="13" width="16.44140625" customWidth="1"/>
    <col min="14" max="14" width="17.88671875" customWidth="1"/>
    <col min="15" max="15" width="7.109375" customWidth="1"/>
    <col min="16" max="16" width="18.88671875" customWidth="1"/>
  </cols>
  <sheetData>
    <row r="1" spans="1:29" x14ac:dyDescent="0.3">
      <c r="A1" s="9" t="s">
        <v>25</v>
      </c>
      <c r="B1" t="s">
        <v>27</v>
      </c>
      <c r="C1" t="s">
        <v>28</v>
      </c>
      <c r="D1" t="s">
        <v>30</v>
      </c>
      <c r="E1" t="s">
        <v>29</v>
      </c>
      <c r="F1" t="s">
        <v>31</v>
      </c>
      <c r="G1" t="s">
        <v>50</v>
      </c>
    </row>
    <row r="2" spans="1:29" x14ac:dyDescent="0.3">
      <c r="A2" s="10">
        <v>45689</v>
      </c>
      <c r="B2">
        <v>1.38</v>
      </c>
      <c r="C2">
        <v>4.032</v>
      </c>
      <c r="D2">
        <v>3.5700000000000003</v>
      </c>
      <c r="E2">
        <v>2.8200000000000003</v>
      </c>
      <c r="F2">
        <v>0.6</v>
      </c>
      <c r="G2">
        <v>6</v>
      </c>
      <c r="R2" t="s">
        <v>73</v>
      </c>
    </row>
    <row r="3" spans="1:29" x14ac:dyDescent="0.3">
      <c r="A3" s="10">
        <v>45690</v>
      </c>
      <c r="B3">
        <v>3.335</v>
      </c>
      <c r="C3">
        <v>9.7439999999999998</v>
      </c>
      <c r="D3">
        <v>8.6274999999999995</v>
      </c>
      <c r="E3">
        <v>6.8150000000000004</v>
      </c>
      <c r="F3">
        <v>1.45</v>
      </c>
      <c r="G3">
        <v>14.5</v>
      </c>
      <c r="R3" s="14">
        <v>114</v>
      </c>
      <c r="S3" s="14"/>
    </row>
    <row r="4" spans="1:29" x14ac:dyDescent="0.3">
      <c r="A4" s="10">
        <v>45692</v>
      </c>
      <c r="B4">
        <v>14.785</v>
      </c>
      <c r="C4">
        <v>32.432000000000002</v>
      </c>
      <c r="D4">
        <v>28.952999999999999</v>
      </c>
      <c r="E4">
        <v>22.879000000000001</v>
      </c>
      <c r="F4">
        <v>4.1950000000000003</v>
      </c>
      <c r="G4">
        <v>48.5</v>
      </c>
      <c r="R4" s="14">
        <v>160</v>
      </c>
      <c r="S4" s="14"/>
    </row>
    <row r="5" spans="1:29" x14ac:dyDescent="0.3">
      <c r="A5" s="10">
        <v>45693</v>
      </c>
      <c r="B5">
        <v>24.709999999999997</v>
      </c>
      <c r="C5">
        <v>50.71</v>
      </c>
      <c r="D5">
        <v>47.537999999999997</v>
      </c>
      <c r="E5">
        <v>37.214000000000006</v>
      </c>
      <c r="F5">
        <v>5.93</v>
      </c>
      <c r="G5">
        <v>79</v>
      </c>
      <c r="R5" s="14">
        <v>150</v>
      </c>
      <c r="S5" s="14"/>
    </row>
    <row r="6" spans="1:29" x14ac:dyDescent="0.3">
      <c r="A6" s="10">
        <v>45696</v>
      </c>
      <c r="B6">
        <v>26.64</v>
      </c>
      <c r="C6">
        <v>62.137</v>
      </c>
      <c r="D6">
        <v>56.361999999999995</v>
      </c>
      <c r="E6">
        <v>43.715999999999994</v>
      </c>
      <c r="F6">
        <v>5.8900000000000006</v>
      </c>
      <c r="G6">
        <v>92</v>
      </c>
      <c r="R6" s="14">
        <v>140</v>
      </c>
      <c r="S6" s="14"/>
    </row>
    <row r="7" spans="1:29" x14ac:dyDescent="0.3">
      <c r="A7" s="10">
        <v>45697</v>
      </c>
      <c r="B7">
        <v>24.01</v>
      </c>
      <c r="C7">
        <v>54.201000000000008</v>
      </c>
      <c r="D7">
        <v>48.524000000000001</v>
      </c>
      <c r="E7">
        <v>38.087000000000003</v>
      </c>
      <c r="F7">
        <v>6.3000000000000007</v>
      </c>
      <c r="G7">
        <v>80.5</v>
      </c>
      <c r="J7" s="17" t="s">
        <v>36</v>
      </c>
      <c r="K7" s="17" t="s">
        <v>60</v>
      </c>
      <c r="L7" s="17" t="s">
        <v>61</v>
      </c>
      <c r="M7" s="17" t="s">
        <v>62</v>
      </c>
      <c r="N7" s="17" t="s">
        <v>63</v>
      </c>
      <c r="O7" s="17" t="s">
        <v>64</v>
      </c>
      <c r="P7" s="17" t="s">
        <v>65</v>
      </c>
      <c r="R7" s="14">
        <v>170</v>
      </c>
      <c r="S7" s="14"/>
    </row>
    <row r="8" spans="1:29" x14ac:dyDescent="0.3">
      <c r="A8" s="10">
        <v>45698</v>
      </c>
      <c r="B8">
        <v>11.030000000000001</v>
      </c>
      <c r="C8">
        <v>23.631999999999998</v>
      </c>
      <c r="D8">
        <v>22.155000000000001</v>
      </c>
      <c r="E8">
        <v>17.39</v>
      </c>
      <c r="F8">
        <v>3.14</v>
      </c>
      <c r="G8">
        <v>37</v>
      </c>
      <c r="J8" s="17" t="s">
        <v>66</v>
      </c>
      <c r="K8" s="18">
        <f>COUNT(B2:B98)</f>
        <v>97</v>
      </c>
      <c r="L8" s="18">
        <f t="shared" ref="L8:P8" si="0">COUNT(C2:C98)</f>
        <v>97</v>
      </c>
      <c r="M8" s="18">
        <f t="shared" si="0"/>
        <v>97</v>
      </c>
      <c r="N8" s="18">
        <f t="shared" si="0"/>
        <v>97</v>
      </c>
      <c r="O8" s="18">
        <f t="shared" si="0"/>
        <v>97</v>
      </c>
      <c r="P8" s="18">
        <f t="shared" si="0"/>
        <v>97</v>
      </c>
      <c r="R8" s="14">
        <v>134</v>
      </c>
      <c r="S8" s="14"/>
      <c r="T8" s="17" t="s">
        <v>66</v>
      </c>
      <c r="U8" s="17" t="s">
        <v>32</v>
      </c>
      <c r="V8" s="17" t="s">
        <v>67</v>
      </c>
      <c r="W8" s="17" t="s">
        <v>68</v>
      </c>
      <c r="X8" s="17" t="s">
        <v>69</v>
      </c>
      <c r="Y8" s="17" t="s">
        <v>34</v>
      </c>
      <c r="Z8" s="17" t="s">
        <v>70</v>
      </c>
      <c r="AA8" s="17" t="s">
        <v>71</v>
      </c>
      <c r="AB8" s="17" t="s">
        <v>35</v>
      </c>
      <c r="AC8" s="17" t="s">
        <v>33</v>
      </c>
    </row>
    <row r="9" spans="1:29" x14ac:dyDescent="0.3">
      <c r="A9" s="10">
        <v>45699</v>
      </c>
      <c r="B9">
        <v>9.24</v>
      </c>
      <c r="C9">
        <v>27.244</v>
      </c>
      <c r="D9">
        <v>20.608000000000001</v>
      </c>
      <c r="E9">
        <v>16.673999999999999</v>
      </c>
      <c r="F9">
        <v>3.64</v>
      </c>
      <c r="G9">
        <v>35</v>
      </c>
      <c r="J9" s="17" t="s">
        <v>32</v>
      </c>
      <c r="K9" s="18">
        <f>AVERAGE(B2:B98)</f>
        <v>13.952396907216496</v>
      </c>
      <c r="L9" s="18">
        <f t="shared" ref="L9:P9" si="1">AVERAGE(C2:C98)</f>
        <v>39.334819587628864</v>
      </c>
      <c r="M9" s="18">
        <f t="shared" si="1"/>
        <v>32.523780927835041</v>
      </c>
      <c r="N9" s="18">
        <f t="shared" si="1"/>
        <v>25.768288659793807</v>
      </c>
      <c r="O9" s="18">
        <f t="shared" si="1"/>
        <v>4.6490721649484517</v>
      </c>
      <c r="P9" s="18">
        <f t="shared" si="1"/>
        <v>54.268041237113401</v>
      </c>
      <c r="R9" s="14">
        <v>150</v>
      </c>
      <c r="S9" s="14"/>
      <c r="T9" s="18">
        <f>COUNT(R3:R56)</f>
        <v>54</v>
      </c>
      <c r="U9" s="18">
        <f>AVERAGE(R3:R56)</f>
        <v>129.25925925925927</v>
      </c>
      <c r="V9" s="18">
        <f>STDEV(R3:R56)</f>
        <v>67.123424807823355</v>
      </c>
      <c r="W9" s="18">
        <f>MIN(R3:R56)</f>
        <v>10</v>
      </c>
      <c r="X9" s="18">
        <f>MAX(R3:R56)</f>
        <v>275</v>
      </c>
      <c r="Y9" s="18">
        <f>MEDIAN(R3:R56)</f>
        <v>140</v>
      </c>
      <c r="Z9" s="18">
        <f>SUM(R3:R56)</f>
        <v>6980</v>
      </c>
      <c r="AA9" s="18">
        <f>VAR(R3:R56)</f>
        <v>4505.5541579315159</v>
      </c>
      <c r="AB9" s="18">
        <f>X9-W9</f>
        <v>265</v>
      </c>
      <c r="AC9" s="18">
        <f>MODE(R3:R56)</f>
        <v>180</v>
      </c>
    </row>
    <row r="10" spans="1:29" x14ac:dyDescent="0.3">
      <c r="A10" s="10">
        <v>45700</v>
      </c>
      <c r="B10">
        <v>22.75</v>
      </c>
      <c r="C10">
        <v>74.256</v>
      </c>
      <c r="D10">
        <v>53.326000000000001</v>
      </c>
      <c r="E10">
        <v>43.498000000000005</v>
      </c>
      <c r="F10">
        <v>10.01</v>
      </c>
      <c r="G10">
        <v>91</v>
      </c>
      <c r="J10" s="17" t="s">
        <v>67</v>
      </c>
      <c r="K10" s="18">
        <f>STDEV(B2:B98)</f>
        <v>10.392049563482948</v>
      </c>
      <c r="L10" s="18">
        <f t="shared" ref="L10:P10" si="2">STDEV(C2:C98)</f>
        <v>31.807365229202553</v>
      </c>
      <c r="M10" s="18">
        <f t="shared" si="2"/>
        <v>25.199577612853385</v>
      </c>
      <c r="N10" s="18">
        <f t="shared" si="2"/>
        <v>20.126737654128156</v>
      </c>
      <c r="O10" s="18">
        <f t="shared" si="2"/>
        <v>4.4104569502901843</v>
      </c>
      <c r="P10" s="18">
        <f t="shared" si="2"/>
        <v>42.381010626792296</v>
      </c>
      <c r="R10" s="14">
        <v>120</v>
      </c>
      <c r="S10" s="14"/>
    </row>
    <row r="11" spans="1:29" x14ac:dyDescent="0.3">
      <c r="A11" s="10">
        <v>45701</v>
      </c>
      <c r="B11">
        <v>13.125</v>
      </c>
      <c r="C11">
        <v>42.839999999999996</v>
      </c>
      <c r="D11">
        <v>30.765000000000001</v>
      </c>
      <c r="E11">
        <v>25.095000000000002</v>
      </c>
      <c r="F11">
        <v>5.7750000000000004</v>
      </c>
      <c r="G11">
        <v>52.5</v>
      </c>
      <c r="J11" s="17" t="s">
        <v>68</v>
      </c>
      <c r="K11" s="18">
        <f>MIN(B2:B98)</f>
        <v>1.25</v>
      </c>
      <c r="L11" s="18">
        <f t="shared" ref="L11:P11" si="3">MIN(C2:C98)</f>
        <v>2.512</v>
      </c>
      <c r="M11" s="18">
        <f t="shared" si="3"/>
        <v>2.4</v>
      </c>
      <c r="N11" s="18">
        <f t="shared" si="3"/>
        <v>1.88</v>
      </c>
      <c r="O11" s="18">
        <f t="shared" si="3"/>
        <v>0</v>
      </c>
      <c r="P11" s="18">
        <f t="shared" si="3"/>
        <v>4</v>
      </c>
      <c r="R11" s="14">
        <v>250</v>
      </c>
      <c r="S11" s="14"/>
    </row>
    <row r="12" spans="1:29" x14ac:dyDescent="0.3">
      <c r="A12" s="10">
        <v>45702</v>
      </c>
      <c r="B12">
        <v>36.049999999999997</v>
      </c>
      <c r="C12">
        <v>115.3635</v>
      </c>
      <c r="D12">
        <v>84.861000000000004</v>
      </c>
      <c r="E12">
        <v>68.628</v>
      </c>
      <c r="F12">
        <v>13.86</v>
      </c>
      <c r="G12">
        <v>143.5</v>
      </c>
      <c r="J12" s="17" t="s">
        <v>69</v>
      </c>
      <c r="K12" s="18">
        <f>MAX(B2:B98)</f>
        <v>57</v>
      </c>
      <c r="L12" s="18">
        <f t="shared" ref="L12:P12" si="4">MAX(C2:C98)</f>
        <v>186.048</v>
      </c>
      <c r="M12" s="18">
        <f t="shared" si="4"/>
        <v>142.80000000000001</v>
      </c>
      <c r="N12" s="18">
        <f t="shared" si="4"/>
        <v>112.8</v>
      </c>
      <c r="O12" s="18">
        <f t="shared" si="4"/>
        <v>25.08</v>
      </c>
      <c r="P12" s="18">
        <f t="shared" si="4"/>
        <v>240</v>
      </c>
      <c r="R12" s="14">
        <v>145</v>
      </c>
      <c r="S12" s="14"/>
    </row>
    <row r="13" spans="1:29" x14ac:dyDescent="0.3">
      <c r="A13" s="10">
        <v>45703</v>
      </c>
      <c r="B13">
        <v>3.4750000000000001</v>
      </c>
      <c r="C13">
        <v>10.751999999999999</v>
      </c>
      <c r="D13">
        <v>8.5645000000000007</v>
      </c>
      <c r="E13">
        <v>6.8710000000000004</v>
      </c>
      <c r="F13">
        <v>1.52</v>
      </c>
      <c r="G13">
        <v>14.5</v>
      </c>
      <c r="J13" s="17" t="s">
        <v>34</v>
      </c>
      <c r="K13" s="18">
        <f>MEDIAN(B2:B98)</f>
        <v>11.33</v>
      </c>
      <c r="L13" s="18">
        <f t="shared" ref="L13:P13" si="5">MEDIAN(C2:C98)</f>
        <v>32.889000000000003</v>
      </c>
      <c r="M13" s="18">
        <f t="shared" si="5"/>
        <v>26.4</v>
      </c>
      <c r="N13" s="18">
        <f t="shared" si="5"/>
        <v>20.741</v>
      </c>
      <c r="O13" s="18">
        <f t="shared" si="5"/>
        <v>3.5</v>
      </c>
      <c r="P13" s="18">
        <f t="shared" si="5"/>
        <v>43.5</v>
      </c>
      <c r="R13" s="14">
        <v>135</v>
      </c>
      <c r="S13" s="14"/>
    </row>
    <row r="14" spans="1:29" x14ac:dyDescent="0.3">
      <c r="A14" s="10">
        <v>45704</v>
      </c>
      <c r="B14">
        <v>1.9550000000000001</v>
      </c>
      <c r="C14">
        <v>5.7119999999999997</v>
      </c>
      <c r="D14">
        <v>5.0575000000000001</v>
      </c>
      <c r="E14">
        <v>3.9950000000000001</v>
      </c>
      <c r="F14">
        <v>0.85</v>
      </c>
      <c r="G14">
        <v>8.5</v>
      </c>
      <c r="J14" s="17" t="s">
        <v>70</v>
      </c>
      <c r="K14" s="18">
        <f>SUM(B2:B98)</f>
        <v>1353.3825000000002</v>
      </c>
      <c r="L14" s="18">
        <f t="shared" ref="L14:P14" si="6">SUM(C2:C98)</f>
        <v>3815.4775</v>
      </c>
      <c r="M14" s="18">
        <f t="shared" si="6"/>
        <v>3154.8067499999993</v>
      </c>
      <c r="N14" s="18">
        <f t="shared" si="6"/>
        <v>2499.5239999999994</v>
      </c>
      <c r="O14" s="18">
        <f t="shared" si="6"/>
        <v>450.95999999999981</v>
      </c>
      <c r="P14" s="18">
        <f t="shared" si="6"/>
        <v>5264</v>
      </c>
      <c r="R14" s="14">
        <v>140</v>
      </c>
      <c r="S14" s="14"/>
    </row>
    <row r="15" spans="1:29" x14ac:dyDescent="0.3">
      <c r="A15" s="10">
        <v>45705</v>
      </c>
      <c r="B15">
        <v>9.2000000000000011</v>
      </c>
      <c r="C15">
        <v>26.88</v>
      </c>
      <c r="D15">
        <v>23.8</v>
      </c>
      <c r="E15">
        <v>18.8</v>
      </c>
      <c r="F15">
        <v>4</v>
      </c>
      <c r="G15">
        <v>40</v>
      </c>
      <c r="J15" s="17" t="s">
        <v>71</v>
      </c>
      <c r="K15" s="18">
        <f>VAR(B2:B98)</f>
        <v>107.99469412988613</v>
      </c>
      <c r="L15" s="18">
        <f t="shared" ref="L15:P15" si="7">VAR(C2:C98)</f>
        <v>1011.7084828238836</v>
      </c>
      <c r="M15" s="18">
        <f t="shared" si="7"/>
        <v>635.01871186622145</v>
      </c>
      <c r="N15" s="18">
        <f t="shared" si="7"/>
        <v>405.08556859810022</v>
      </c>
      <c r="O15" s="18">
        <f t="shared" si="7"/>
        <v>19.452130510362991</v>
      </c>
      <c r="P15" s="18">
        <f t="shared" si="7"/>
        <v>1796.1500617482816</v>
      </c>
      <c r="R15" s="14">
        <v>200</v>
      </c>
      <c r="S15" s="14"/>
    </row>
    <row r="16" spans="1:29" x14ac:dyDescent="0.3">
      <c r="A16" s="10">
        <v>45706</v>
      </c>
      <c r="B16">
        <v>9.94</v>
      </c>
      <c r="C16">
        <v>22.596</v>
      </c>
      <c r="D16">
        <v>20.93</v>
      </c>
      <c r="E16">
        <v>16.45</v>
      </c>
      <c r="F16">
        <v>3.08</v>
      </c>
      <c r="G16">
        <v>35</v>
      </c>
      <c r="J16" s="17" t="s">
        <v>35</v>
      </c>
      <c r="K16" s="18">
        <f>K12-K11</f>
        <v>55.75</v>
      </c>
      <c r="L16" s="18">
        <f t="shared" ref="L16:P16" si="8">L12-L11</f>
        <v>183.536</v>
      </c>
      <c r="M16" s="18">
        <f t="shared" si="8"/>
        <v>140.4</v>
      </c>
      <c r="N16" s="18">
        <f t="shared" si="8"/>
        <v>110.92</v>
      </c>
      <c r="O16" s="18">
        <f t="shared" si="8"/>
        <v>25.08</v>
      </c>
      <c r="P16" s="18">
        <f t="shared" si="8"/>
        <v>236</v>
      </c>
      <c r="R16" s="14">
        <v>200</v>
      </c>
      <c r="S16" s="14"/>
    </row>
    <row r="17" spans="1:19" x14ac:dyDescent="0.3">
      <c r="A17" s="10">
        <v>45707</v>
      </c>
      <c r="B17">
        <v>15.400000000000002</v>
      </c>
      <c r="C17">
        <v>36.4</v>
      </c>
      <c r="D17">
        <v>33.46</v>
      </c>
      <c r="E17">
        <v>26.32</v>
      </c>
      <c r="F17">
        <v>5.04</v>
      </c>
      <c r="G17">
        <v>56</v>
      </c>
      <c r="J17" s="17" t="s">
        <v>33</v>
      </c>
      <c r="K17" s="18">
        <f>MODE(B2:B98)</f>
        <v>6.72</v>
      </c>
      <c r="L17" s="18">
        <f t="shared" ref="L17:P17" si="9">MODE(C2:C98)</f>
        <v>5.7119999999999997</v>
      </c>
      <c r="M17" s="18">
        <f t="shared" si="9"/>
        <v>12.6</v>
      </c>
      <c r="N17" s="18">
        <f t="shared" si="9"/>
        <v>16.45</v>
      </c>
      <c r="O17" s="18">
        <f t="shared" si="9"/>
        <v>0</v>
      </c>
      <c r="P17" s="18">
        <f t="shared" si="9"/>
        <v>35</v>
      </c>
      <c r="R17" s="14">
        <v>180</v>
      </c>
      <c r="S17" s="14"/>
    </row>
    <row r="18" spans="1:19" x14ac:dyDescent="0.3">
      <c r="A18" s="10">
        <v>45708</v>
      </c>
      <c r="B18">
        <v>10.71</v>
      </c>
      <c r="C18">
        <v>23.295999999999999</v>
      </c>
      <c r="D18">
        <v>20.902000000000001</v>
      </c>
      <c r="E18">
        <v>16.506</v>
      </c>
      <c r="F18">
        <v>3.0100000000000002</v>
      </c>
      <c r="G18">
        <v>35</v>
      </c>
      <c r="R18" s="14">
        <v>240</v>
      </c>
      <c r="S18" s="14"/>
    </row>
    <row r="19" spans="1:19" x14ac:dyDescent="0.3">
      <c r="A19" s="10">
        <v>45709</v>
      </c>
      <c r="B19">
        <v>20.834999999999997</v>
      </c>
      <c r="C19">
        <v>51.321499999999993</v>
      </c>
      <c r="D19">
        <v>46.026000000000003</v>
      </c>
      <c r="E19">
        <v>35.532999999999994</v>
      </c>
      <c r="F19">
        <v>4.26</v>
      </c>
      <c r="G19">
        <v>74.5</v>
      </c>
      <c r="R19" s="14">
        <v>275</v>
      </c>
      <c r="S19" s="14"/>
    </row>
    <row r="20" spans="1:19" x14ac:dyDescent="0.3">
      <c r="A20" s="10">
        <v>45710</v>
      </c>
      <c r="B20">
        <v>10.61</v>
      </c>
      <c r="C20">
        <v>25.052</v>
      </c>
      <c r="D20">
        <v>21.417999999999999</v>
      </c>
      <c r="E20">
        <v>17.024000000000001</v>
      </c>
      <c r="F20">
        <v>3.2700000000000005</v>
      </c>
      <c r="G20">
        <v>36</v>
      </c>
      <c r="I20" s="9" t="s">
        <v>25</v>
      </c>
      <c r="J20" t="s">
        <v>37</v>
      </c>
      <c r="R20" s="14">
        <v>180</v>
      </c>
      <c r="S20" s="14"/>
    </row>
    <row r="21" spans="1:19" x14ac:dyDescent="0.3">
      <c r="A21" s="10">
        <v>45711</v>
      </c>
      <c r="B21">
        <v>3.09</v>
      </c>
      <c r="C21">
        <v>9.4559999999999995</v>
      </c>
      <c r="D21">
        <v>7.6899999999999995</v>
      </c>
      <c r="E21">
        <v>6.15</v>
      </c>
      <c r="F21">
        <v>1.3499999999999999</v>
      </c>
      <c r="G21">
        <v>13</v>
      </c>
      <c r="I21" s="11" t="s">
        <v>7</v>
      </c>
      <c r="J21">
        <v>52</v>
      </c>
      <c r="R21" s="14">
        <v>200</v>
      </c>
      <c r="S21" s="14"/>
    </row>
    <row r="22" spans="1:19" x14ac:dyDescent="0.3">
      <c r="A22" s="10">
        <v>45712</v>
      </c>
      <c r="B22">
        <v>6.51</v>
      </c>
      <c r="C22">
        <v>15.936</v>
      </c>
      <c r="D22">
        <v>13.682</v>
      </c>
      <c r="E22">
        <v>10.866</v>
      </c>
      <c r="F22">
        <v>2.13</v>
      </c>
      <c r="G22">
        <v>23</v>
      </c>
      <c r="I22" s="11" t="s">
        <v>6</v>
      </c>
      <c r="J22">
        <v>66</v>
      </c>
      <c r="R22" s="14">
        <v>200</v>
      </c>
      <c r="S22" s="14"/>
    </row>
    <row r="23" spans="1:19" x14ac:dyDescent="0.3">
      <c r="A23" s="10">
        <v>45713</v>
      </c>
      <c r="B23">
        <v>3.9399999999999995</v>
      </c>
      <c r="C23">
        <v>13.105999999999998</v>
      </c>
      <c r="D23">
        <v>11.36</v>
      </c>
      <c r="E23">
        <v>8.66</v>
      </c>
      <c r="F23">
        <v>0.8</v>
      </c>
      <c r="G23">
        <v>18</v>
      </c>
      <c r="I23" s="11" t="s">
        <v>5</v>
      </c>
      <c r="J23">
        <v>178</v>
      </c>
      <c r="R23" s="14">
        <v>180</v>
      </c>
      <c r="S23" s="14"/>
    </row>
    <row r="24" spans="1:19" x14ac:dyDescent="0.3">
      <c r="A24" s="10">
        <v>45714</v>
      </c>
      <c r="B24">
        <v>14.434999999999999</v>
      </c>
      <c r="C24">
        <v>37.356999999999999</v>
      </c>
      <c r="D24">
        <v>33.317500000000003</v>
      </c>
      <c r="E24">
        <v>25.555</v>
      </c>
      <c r="F24">
        <v>1.05</v>
      </c>
      <c r="G24">
        <v>53.5</v>
      </c>
      <c r="I24" s="11" t="s">
        <v>3</v>
      </c>
      <c r="J24">
        <v>241</v>
      </c>
      <c r="R24" s="14">
        <v>180</v>
      </c>
      <c r="S24" s="14"/>
    </row>
    <row r="25" spans="1:19" x14ac:dyDescent="0.3">
      <c r="A25" s="10">
        <v>45715</v>
      </c>
      <c r="B25">
        <v>10.66</v>
      </c>
      <c r="C25">
        <v>29.396999999999998</v>
      </c>
      <c r="D25">
        <v>25.830000000000002</v>
      </c>
      <c r="E25">
        <v>19.68</v>
      </c>
      <c r="F25">
        <v>0</v>
      </c>
      <c r="G25">
        <v>41</v>
      </c>
      <c r="I25" s="11" t="s">
        <v>4</v>
      </c>
      <c r="J25">
        <v>305</v>
      </c>
      <c r="R25" s="14">
        <v>150</v>
      </c>
      <c r="S25" s="14"/>
    </row>
    <row r="26" spans="1:19" x14ac:dyDescent="0.3">
      <c r="A26" s="10">
        <v>45716</v>
      </c>
      <c r="B26">
        <v>12.74</v>
      </c>
      <c r="C26">
        <v>35.133000000000003</v>
      </c>
      <c r="D26">
        <v>30.87</v>
      </c>
      <c r="E26">
        <v>23.52</v>
      </c>
      <c r="F26">
        <v>0</v>
      </c>
      <c r="G26">
        <v>49</v>
      </c>
      <c r="I26" s="11" t="s">
        <v>9</v>
      </c>
      <c r="J26">
        <v>5</v>
      </c>
      <c r="R26" s="14">
        <v>180</v>
      </c>
      <c r="S26" s="14"/>
    </row>
    <row r="27" spans="1:19" x14ac:dyDescent="0.3">
      <c r="A27" s="10">
        <v>45717</v>
      </c>
      <c r="B27">
        <v>18.060000000000002</v>
      </c>
      <c r="C27">
        <v>51.576000000000001</v>
      </c>
      <c r="D27">
        <v>43.484000000000002</v>
      </c>
      <c r="E27">
        <v>33.572000000000003</v>
      </c>
      <c r="F27">
        <v>1.54</v>
      </c>
      <c r="G27">
        <v>70</v>
      </c>
      <c r="I27" s="11" t="s">
        <v>26</v>
      </c>
      <c r="J27">
        <v>847</v>
      </c>
      <c r="R27" s="14">
        <v>140</v>
      </c>
      <c r="S27" s="14"/>
    </row>
    <row r="28" spans="1:19" x14ac:dyDescent="0.3">
      <c r="A28" s="10">
        <v>45718</v>
      </c>
      <c r="B28">
        <v>9.1</v>
      </c>
      <c r="C28">
        <v>25.094999999999999</v>
      </c>
      <c r="D28">
        <v>22.05</v>
      </c>
      <c r="E28">
        <v>16.8</v>
      </c>
      <c r="F28">
        <v>0</v>
      </c>
      <c r="G28">
        <v>35</v>
      </c>
      <c r="L28" t="s">
        <v>1</v>
      </c>
      <c r="M28" t="s">
        <v>74</v>
      </c>
      <c r="R28" s="14">
        <v>115</v>
      </c>
      <c r="S28" s="14"/>
    </row>
    <row r="29" spans="1:19" x14ac:dyDescent="0.3">
      <c r="A29" s="10">
        <v>45719</v>
      </c>
      <c r="B29">
        <v>6.72</v>
      </c>
      <c r="C29">
        <v>13.188000000000001</v>
      </c>
      <c r="D29">
        <v>12.6</v>
      </c>
      <c r="E29">
        <v>9.8699999999999992</v>
      </c>
      <c r="F29">
        <v>1.68</v>
      </c>
      <c r="G29">
        <v>21</v>
      </c>
      <c r="L29" s="11" t="s">
        <v>7</v>
      </c>
      <c r="M29">
        <v>52</v>
      </c>
      <c r="R29" s="14">
        <v>145</v>
      </c>
      <c r="S29" s="14"/>
    </row>
    <row r="30" spans="1:19" x14ac:dyDescent="0.3">
      <c r="A30" s="10">
        <v>45720</v>
      </c>
      <c r="B30">
        <v>12.76</v>
      </c>
      <c r="C30">
        <v>34.152000000000001</v>
      </c>
      <c r="D30">
        <v>27.208000000000002</v>
      </c>
      <c r="E30">
        <v>21.844000000000001</v>
      </c>
      <c r="F30">
        <v>4.5199999999999996</v>
      </c>
      <c r="G30">
        <v>46</v>
      </c>
      <c r="L30" s="11" t="s">
        <v>6</v>
      </c>
      <c r="M30">
        <v>66</v>
      </c>
      <c r="R30" s="14">
        <v>130</v>
      </c>
      <c r="S30" s="14"/>
    </row>
    <row r="31" spans="1:19" x14ac:dyDescent="0.3">
      <c r="A31" s="10">
        <v>45722</v>
      </c>
      <c r="B31">
        <v>10.99</v>
      </c>
      <c r="C31">
        <v>32.955999999999996</v>
      </c>
      <c r="D31">
        <v>24.71</v>
      </c>
      <c r="E31">
        <v>20.02</v>
      </c>
      <c r="F31">
        <v>4.41</v>
      </c>
      <c r="G31">
        <v>42</v>
      </c>
      <c r="L31" s="11" t="s">
        <v>5</v>
      </c>
      <c r="M31">
        <v>178</v>
      </c>
      <c r="R31" s="14">
        <v>145</v>
      </c>
      <c r="S31" s="14"/>
    </row>
    <row r="32" spans="1:19" x14ac:dyDescent="0.3">
      <c r="A32" s="10">
        <v>45723</v>
      </c>
      <c r="B32">
        <v>17.605</v>
      </c>
      <c r="C32">
        <v>43.257999999999996</v>
      </c>
      <c r="D32">
        <v>36.863500000000002</v>
      </c>
      <c r="E32">
        <v>29.308</v>
      </c>
      <c r="F32">
        <v>5.76</v>
      </c>
      <c r="G32">
        <v>62</v>
      </c>
      <c r="L32" s="11" t="s">
        <v>3</v>
      </c>
      <c r="M32">
        <v>241</v>
      </c>
      <c r="R32" s="14">
        <v>140</v>
      </c>
      <c r="S32" s="14"/>
    </row>
    <row r="33" spans="1:19" x14ac:dyDescent="0.3">
      <c r="A33" s="10">
        <v>45724</v>
      </c>
      <c r="B33">
        <v>14.92</v>
      </c>
      <c r="C33">
        <v>34.088000000000001</v>
      </c>
      <c r="D33">
        <v>30.592000000000002</v>
      </c>
      <c r="E33">
        <v>23.920999999999999</v>
      </c>
      <c r="F33">
        <v>3.4499999999999997</v>
      </c>
      <c r="G33">
        <v>50.5</v>
      </c>
      <c r="L33" s="11" t="s">
        <v>4</v>
      </c>
      <c r="M33">
        <v>305</v>
      </c>
      <c r="R33" s="14">
        <v>130</v>
      </c>
      <c r="S33" s="14"/>
    </row>
    <row r="34" spans="1:19" x14ac:dyDescent="0.3">
      <c r="A34" s="10">
        <v>45725</v>
      </c>
      <c r="B34">
        <v>8.0500000000000007</v>
      </c>
      <c r="C34">
        <v>23.519999999999996</v>
      </c>
      <c r="D34">
        <v>20.824999999999999</v>
      </c>
      <c r="E34">
        <v>16.45</v>
      </c>
      <c r="F34">
        <v>3.5</v>
      </c>
      <c r="G34">
        <v>35</v>
      </c>
      <c r="L34" s="11" t="s">
        <v>9</v>
      </c>
      <c r="M34">
        <v>5</v>
      </c>
      <c r="R34" s="14">
        <v>190</v>
      </c>
      <c r="S34" s="14"/>
    </row>
    <row r="35" spans="1:19" x14ac:dyDescent="0.3">
      <c r="A35" s="10">
        <v>45726</v>
      </c>
      <c r="B35">
        <v>1.28</v>
      </c>
      <c r="C35">
        <v>2.512</v>
      </c>
      <c r="D35">
        <v>2.4</v>
      </c>
      <c r="E35">
        <v>1.88</v>
      </c>
      <c r="F35">
        <v>0.32</v>
      </c>
      <c r="G35">
        <v>4</v>
      </c>
      <c r="R35" s="14">
        <v>215</v>
      </c>
      <c r="S35" s="14"/>
    </row>
    <row r="36" spans="1:19" x14ac:dyDescent="0.3">
      <c r="A36" s="10">
        <v>45727</v>
      </c>
      <c r="B36">
        <v>5.43</v>
      </c>
      <c r="C36">
        <v>16.463999999999999</v>
      </c>
      <c r="D36">
        <v>13.622</v>
      </c>
      <c r="E36">
        <v>10.866</v>
      </c>
      <c r="F36">
        <v>2.37</v>
      </c>
      <c r="G36">
        <v>23</v>
      </c>
      <c r="R36" s="14">
        <v>205</v>
      </c>
      <c r="S36" s="14"/>
    </row>
    <row r="37" spans="1:19" x14ac:dyDescent="0.3">
      <c r="A37" s="10">
        <v>45729</v>
      </c>
      <c r="B37">
        <v>1.25</v>
      </c>
      <c r="C37">
        <v>4.08</v>
      </c>
      <c r="D37">
        <v>2.93</v>
      </c>
      <c r="E37">
        <v>2.39</v>
      </c>
      <c r="F37">
        <v>0.55000000000000004</v>
      </c>
      <c r="G37">
        <v>5</v>
      </c>
      <c r="R37" s="14">
        <v>190</v>
      </c>
      <c r="S37" s="14"/>
    </row>
    <row r="38" spans="1:19" x14ac:dyDescent="0.3">
      <c r="A38" s="10">
        <v>45730</v>
      </c>
      <c r="B38">
        <v>12.765000000000001</v>
      </c>
      <c r="C38">
        <v>37.295999999999999</v>
      </c>
      <c r="D38">
        <v>33.022500000000001</v>
      </c>
      <c r="E38">
        <v>26.085000000000001</v>
      </c>
      <c r="F38">
        <v>5.55</v>
      </c>
      <c r="G38">
        <v>55.5</v>
      </c>
      <c r="R38" s="14">
        <v>146</v>
      </c>
      <c r="S38" s="14"/>
    </row>
    <row r="39" spans="1:19" x14ac:dyDescent="0.3">
      <c r="A39" s="10">
        <v>45732</v>
      </c>
      <c r="B39">
        <v>17.11</v>
      </c>
      <c r="C39">
        <v>52.821999999999996</v>
      </c>
      <c r="D39">
        <v>45.471999999999994</v>
      </c>
      <c r="E39">
        <v>35.585999999999999</v>
      </c>
      <c r="F39">
        <v>6.1700000000000008</v>
      </c>
      <c r="G39">
        <v>75</v>
      </c>
      <c r="R39" s="14">
        <v>180</v>
      </c>
      <c r="S39" s="14"/>
    </row>
    <row r="40" spans="1:19" x14ac:dyDescent="0.3">
      <c r="A40" s="10">
        <v>45733</v>
      </c>
      <c r="B40">
        <v>4.2549999999999999</v>
      </c>
      <c r="C40">
        <v>12.432</v>
      </c>
      <c r="D40">
        <v>11.0075</v>
      </c>
      <c r="E40">
        <v>8.6950000000000003</v>
      </c>
      <c r="F40">
        <v>1.8499999999999999</v>
      </c>
      <c r="G40">
        <v>18.5</v>
      </c>
      <c r="R40" s="14">
        <v>55</v>
      </c>
      <c r="S40" s="14"/>
    </row>
    <row r="41" spans="1:19" x14ac:dyDescent="0.3">
      <c r="A41" s="10">
        <v>45734</v>
      </c>
      <c r="B41">
        <v>6.92</v>
      </c>
      <c r="C41">
        <v>15.024000000000001</v>
      </c>
      <c r="D41">
        <v>14.040000000000001</v>
      </c>
      <c r="E41">
        <v>10.89</v>
      </c>
      <c r="F41">
        <v>1.52</v>
      </c>
      <c r="G41">
        <v>23</v>
      </c>
      <c r="R41" s="14">
        <v>30</v>
      </c>
      <c r="S41" s="14"/>
    </row>
    <row r="42" spans="1:19" x14ac:dyDescent="0.3">
      <c r="A42" s="10">
        <v>45735</v>
      </c>
      <c r="B42">
        <v>4.16</v>
      </c>
      <c r="C42">
        <v>8.1639999999999997</v>
      </c>
      <c r="D42">
        <v>7.8</v>
      </c>
      <c r="E42">
        <v>6.11</v>
      </c>
      <c r="F42">
        <v>1.04</v>
      </c>
      <c r="G42">
        <v>13</v>
      </c>
      <c r="R42" s="14">
        <v>35</v>
      </c>
      <c r="S42" s="14"/>
    </row>
    <row r="43" spans="1:19" x14ac:dyDescent="0.3">
      <c r="A43" s="10">
        <v>45736</v>
      </c>
      <c r="B43">
        <v>4.37</v>
      </c>
      <c r="C43">
        <v>12.768000000000001</v>
      </c>
      <c r="D43">
        <v>11.305</v>
      </c>
      <c r="E43">
        <v>8.93</v>
      </c>
      <c r="F43">
        <v>1.9</v>
      </c>
      <c r="G43">
        <v>19</v>
      </c>
      <c r="R43" s="14">
        <v>40</v>
      </c>
      <c r="S43" s="14"/>
    </row>
    <row r="44" spans="1:19" x14ac:dyDescent="0.3">
      <c r="A44" s="10">
        <v>45738</v>
      </c>
      <c r="B44">
        <v>13.29</v>
      </c>
      <c r="C44">
        <v>34.868499999999997</v>
      </c>
      <c r="D44">
        <v>30.975000000000001</v>
      </c>
      <c r="E44">
        <v>23.69</v>
      </c>
      <c r="F44">
        <v>0.56000000000000005</v>
      </c>
      <c r="G44">
        <v>49.5</v>
      </c>
      <c r="R44" s="14">
        <v>50</v>
      </c>
      <c r="S44" s="14"/>
    </row>
    <row r="45" spans="1:19" x14ac:dyDescent="0.3">
      <c r="A45" s="10">
        <v>45739</v>
      </c>
      <c r="B45">
        <v>12.399999999999999</v>
      </c>
      <c r="C45">
        <v>30.124000000000002</v>
      </c>
      <c r="D45">
        <v>27.240000000000002</v>
      </c>
      <c r="E45">
        <v>20.959999999999997</v>
      </c>
      <c r="F45">
        <v>1.28</v>
      </c>
      <c r="G45">
        <v>44</v>
      </c>
      <c r="R45" s="14">
        <v>45</v>
      </c>
      <c r="S45" s="14"/>
    </row>
    <row r="46" spans="1:19" x14ac:dyDescent="0.3">
      <c r="A46" s="10">
        <v>45740</v>
      </c>
      <c r="B46">
        <v>17.71</v>
      </c>
      <c r="C46">
        <v>51.744</v>
      </c>
      <c r="D46">
        <v>45.814999999999998</v>
      </c>
      <c r="E46">
        <v>36.19</v>
      </c>
      <c r="F46">
        <v>7.7</v>
      </c>
      <c r="G46">
        <v>77</v>
      </c>
      <c r="R46" s="14">
        <v>40</v>
      </c>
      <c r="S46" s="14"/>
    </row>
    <row r="47" spans="1:19" x14ac:dyDescent="0.3">
      <c r="A47" s="10">
        <v>45741</v>
      </c>
      <c r="B47">
        <v>16.37</v>
      </c>
      <c r="C47">
        <v>39.847999999999999</v>
      </c>
      <c r="D47">
        <v>36.424999999999997</v>
      </c>
      <c r="E47">
        <v>28.67</v>
      </c>
      <c r="F47">
        <v>5.58</v>
      </c>
      <c r="G47">
        <v>61</v>
      </c>
      <c r="R47" s="14">
        <v>50</v>
      </c>
      <c r="S47" s="14"/>
    </row>
    <row r="48" spans="1:19" x14ac:dyDescent="0.3">
      <c r="A48" s="10">
        <v>45742</v>
      </c>
      <c r="B48">
        <v>12.845000000000001</v>
      </c>
      <c r="C48">
        <v>40.823999999999998</v>
      </c>
      <c r="D48">
        <v>30.890999999999998</v>
      </c>
      <c r="E48">
        <v>24.983000000000001</v>
      </c>
      <c r="F48">
        <v>5.6349999999999998</v>
      </c>
      <c r="G48">
        <v>52.5</v>
      </c>
      <c r="R48" s="14">
        <v>40</v>
      </c>
      <c r="S48" s="14"/>
    </row>
    <row r="49" spans="1:19" x14ac:dyDescent="0.3">
      <c r="A49" s="10">
        <v>45743</v>
      </c>
      <c r="B49">
        <v>13.75</v>
      </c>
      <c r="C49">
        <v>44.879999999999995</v>
      </c>
      <c r="D49">
        <v>32.229999999999997</v>
      </c>
      <c r="E49">
        <v>26.29</v>
      </c>
      <c r="F49">
        <v>6.05</v>
      </c>
      <c r="G49">
        <v>55</v>
      </c>
      <c r="R49" s="14">
        <v>16</v>
      </c>
      <c r="S49" s="14"/>
    </row>
    <row r="50" spans="1:19" x14ac:dyDescent="0.3">
      <c r="A50" s="10">
        <v>45744</v>
      </c>
      <c r="B50">
        <v>28.42</v>
      </c>
      <c r="C50">
        <v>79.591999999999999</v>
      </c>
      <c r="D50">
        <v>70.86</v>
      </c>
      <c r="E50">
        <v>53.724999999999994</v>
      </c>
      <c r="F50">
        <v>3.64</v>
      </c>
      <c r="G50">
        <v>111.5</v>
      </c>
      <c r="R50" s="14">
        <v>10</v>
      </c>
      <c r="S50" s="14"/>
    </row>
    <row r="51" spans="1:19" x14ac:dyDescent="0.3">
      <c r="A51" s="10">
        <v>45745</v>
      </c>
      <c r="B51">
        <v>57</v>
      </c>
      <c r="C51">
        <v>186.048</v>
      </c>
      <c r="D51">
        <v>133.608</v>
      </c>
      <c r="E51">
        <v>108.98399999999999</v>
      </c>
      <c r="F51">
        <v>25.08</v>
      </c>
      <c r="G51">
        <v>228</v>
      </c>
      <c r="R51" s="14">
        <v>55</v>
      </c>
      <c r="S51" s="14"/>
    </row>
    <row r="52" spans="1:19" x14ac:dyDescent="0.3">
      <c r="A52" s="10">
        <v>45748</v>
      </c>
      <c r="B52">
        <v>3.22</v>
      </c>
      <c r="C52">
        <v>9.4079999999999995</v>
      </c>
      <c r="D52">
        <v>8.33</v>
      </c>
      <c r="E52">
        <v>6.58</v>
      </c>
      <c r="F52">
        <v>1.4</v>
      </c>
      <c r="G52">
        <v>14</v>
      </c>
      <c r="R52" s="14">
        <v>50</v>
      </c>
      <c r="S52" s="14"/>
    </row>
    <row r="53" spans="1:19" x14ac:dyDescent="0.3">
      <c r="A53" s="10">
        <v>45749</v>
      </c>
      <c r="B53">
        <v>26.16</v>
      </c>
      <c r="C53">
        <v>53.104000000000006</v>
      </c>
      <c r="D53">
        <v>50.360000000000007</v>
      </c>
      <c r="E53">
        <v>39.479999999999997</v>
      </c>
      <c r="F53">
        <v>6.8800000000000017</v>
      </c>
      <c r="G53">
        <v>84</v>
      </c>
      <c r="R53" s="14">
        <v>50</v>
      </c>
      <c r="S53" s="14"/>
    </row>
    <row r="54" spans="1:19" x14ac:dyDescent="0.3">
      <c r="A54" s="10">
        <v>45752</v>
      </c>
      <c r="B54">
        <v>6.72</v>
      </c>
      <c r="C54">
        <v>13.188000000000001</v>
      </c>
      <c r="D54">
        <v>12.6</v>
      </c>
      <c r="E54">
        <v>9.8699999999999992</v>
      </c>
      <c r="F54">
        <v>1.68</v>
      </c>
      <c r="G54">
        <v>21</v>
      </c>
      <c r="R54" s="14">
        <v>50</v>
      </c>
      <c r="S54" s="14"/>
    </row>
    <row r="55" spans="1:19" x14ac:dyDescent="0.3">
      <c r="A55" s="10">
        <v>45753</v>
      </c>
      <c r="B55">
        <v>55.2</v>
      </c>
      <c r="C55">
        <v>161.28</v>
      </c>
      <c r="D55">
        <v>142.80000000000001</v>
      </c>
      <c r="E55">
        <v>112.8</v>
      </c>
      <c r="F55">
        <v>24</v>
      </c>
      <c r="G55">
        <v>240</v>
      </c>
      <c r="R55" s="14">
        <v>60</v>
      </c>
      <c r="S55" s="14"/>
    </row>
    <row r="56" spans="1:19" x14ac:dyDescent="0.3">
      <c r="A56" s="10">
        <v>45754</v>
      </c>
      <c r="B56">
        <v>19.745000000000001</v>
      </c>
      <c r="C56">
        <v>60.719000000000008</v>
      </c>
      <c r="D56">
        <v>53.297499999999999</v>
      </c>
      <c r="E56">
        <v>41.505000000000003</v>
      </c>
      <c r="F56">
        <v>6.85</v>
      </c>
      <c r="G56">
        <v>87.5</v>
      </c>
      <c r="R56" s="14">
        <v>60</v>
      </c>
      <c r="S56" s="14"/>
    </row>
    <row r="57" spans="1:19" x14ac:dyDescent="0.3">
      <c r="A57" s="10">
        <v>45755</v>
      </c>
      <c r="B57">
        <v>10.790000000000001</v>
      </c>
      <c r="C57">
        <v>24.625</v>
      </c>
      <c r="D57">
        <v>22.79</v>
      </c>
      <c r="E57">
        <v>17.880000000000003</v>
      </c>
      <c r="F57">
        <v>3.2399999999999998</v>
      </c>
      <c r="G57">
        <v>38</v>
      </c>
    </row>
    <row r="58" spans="1:19" x14ac:dyDescent="0.3">
      <c r="A58" s="10">
        <v>45757</v>
      </c>
      <c r="B58">
        <v>14.629999999999999</v>
      </c>
      <c r="C58">
        <v>39.521999999999998</v>
      </c>
      <c r="D58">
        <v>35.454999999999998</v>
      </c>
      <c r="E58">
        <v>27.965</v>
      </c>
      <c r="F58">
        <v>5.74</v>
      </c>
      <c r="G58">
        <v>59.5</v>
      </c>
    </row>
    <row r="59" spans="1:19" x14ac:dyDescent="0.3">
      <c r="A59" s="10">
        <v>45758</v>
      </c>
      <c r="B59">
        <v>19.380000000000003</v>
      </c>
      <c r="C59">
        <v>41.122</v>
      </c>
      <c r="D59">
        <v>38.630000000000003</v>
      </c>
      <c r="E59">
        <v>30.315000000000001</v>
      </c>
      <c r="F59">
        <v>5.4399999999999995</v>
      </c>
      <c r="G59">
        <v>64.5</v>
      </c>
    </row>
    <row r="60" spans="1:19" x14ac:dyDescent="0.3">
      <c r="A60" s="10">
        <v>45759</v>
      </c>
      <c r="B60">
        <v>15.045</v>
      </c>
      <c r="C60">
        <v>39.872</v>
      </c>
      <c r="D60">
        <v>32.906500000000001</v>
      </c>
      <c r="E60">
        <v>26.276999999999997</v>
      </c>
      <c r="F60">
        <v>5.3900000000000006</v>
      </c>
      <c r="G60">
        <v>55.5</v>
      </c>
    </row>
    <row r="61" spans="1:19" x14ac:dyDescent="0.3">
      <c r="A61" s="10">
        <v>45760</v>
      </c>
      <c r="B61">
        <v>2.3149999999999999</v>
      </c>
      <c r="C61">
        <v>7.32</v>
      </c>
      <c r="D61">
        <v>5.5940000000000003</v>
      </c>
      <c r="E61">
        <v>4.5170000000000003</v>
      </c>
      <c r="F61">
        <v>1.0149999999999999</v>
      </c>
      <c r="G61">
        <v>9.5</v>
      </c>
    </row>
    <row r="62" spans="1:19" x14ac:dyDescent="0.3">
      <c r="A62" s="10">
        <v>45761</v>
      </c>
      <c r="B62">
        <v>27.6</v>
      </c>
      <c r="C62">
        <v>77.50200000000001</v>
      </c>
      <c r="D62">
        <v>68.315500000000014</v>
      </c>
      <c r="E62">
        <v>53.764000000000003</v>
      </c>
      <c r="F62">
        <v>10.195</v>
      </c>
      <c r="G62">
        <v>114</v>
      </c>
    </row>
    <row r="63" spans="1:19" x14ac:dyDescent="0.3">
      <c r="A63" s="10">
        <v>45764</v>
      </c>
      <c r="B63">
        <v>6.5600000000000005</v>
      </c>
      <c r="C63">
        <v>12.874000000000001</v>
      </c>
      <c r="D63">
        <v>12.3</v>
      </c>
      <c r="E63">
        <v>9.6349999999999998</v>
      </c>
      <c r="F63">
        <v>1.6400000000000001</v>
      </c>
      <c r="G63">
        <v>20.5</v>
      </c>
    </row>
    <row r="64" spans="1:19" x14ac:dyDescent="0.3">
      <c r="A64" s="10">
        <v>45765</v>
      </c>
      <c r="B64">
        <v>5</v>
      </c>
      <c r="C64">
        <v>16.32</v>
      </c>
      <c r="D64">
        <v>11.72</v>
      </c>
      <c r="E64">
        <v>9.56</v>
      </c>
      <c r="F64">
        <v>2.2000000000000002</v>
      </c>
      <c r="G64">
        <v>20</v>
      </c>
    </row>
    <row r="65" spans="1:7" x14ac:dyDescent="0.3">
      <c r="A65" s="10">
        <v>45766</v>
      </c>
      <c r="B65">
        <v>29.585000000000001</v>
      </c>
      <c r="C65">
        <v>90.503999999999991</v>
      </c>
      <c r="D65">
        <v>73.649999999999991</v>
      </c>
      <c r="E65">
        <v>58.894999999999996</v>
      </c>
      <c r="F65">
        <v>12.925000000000001</v>
      </c>
      <c r="G65">
        <v>124.5</v>
      </c>
    </row>
    <row r="66" spans="1:7" x14ac:dyDescent="0.3">
      <c r="A66" s="10">
        <v>45767</v>
      </c>
      <c r="B66">
        <v>10.754999999999999</v>
      </c>
      <c r="C66">
        <v>33.399000000000001</v>
      </c>
      <c r="D66">
        <v>27.11</v>
      </c>
      <c r="E66">
        <v>21.585000000000001</v>
      </c>
      <c r="F66">
        <v>4.4250000000000007</v>
      </c>
      <c r="G66">
        <v>45.5</v>
      </c>
    </row>
    <row r="67" spans="1:7" x14ac:dyDescent="0.3">
      <c r="A67" s="10">
        <v>45769</v>
      </c>
      <c r="B67">
        <v>8.0500000000000007</v>
      </c>
      <c r="C67">
        <v>23.52</v>
      </c>
      <c r="D67">
        <v>20.824999999999999</v>
      </c>
      <c r="E67">
        <v>16.45</v>
      </c>
      <c r="F67">
        <v>3.5</v>
      </c>
      <c r="G67">
        <v>35</v>
      </c>
    </row>
    <row r="68" spans="1:7" x14ac:dyDescent="0.3">
      <c r="A68" s="10">
        <v>45770</v>
      </c>
      <c r="B68">
        <v>9.5399999999999991</v>
      </c>
      <c r="C68">
        <v>27.631</v>
      </c>
      <c r="D68">
        <v>22.266999999999996</v>
      </c>
      <c r="E68">
        <v>17.635999999999999</v>
      </c>
      <c r="F68">
        <v>2.69</v>
      </c>
      <c r="G68">
        <v>37</v>
      </c>
    </row>
    <row r="69" spans="1:7" x14ac:dyDescent="0.3">
      <c r="A69" s="10">
        <v>45771</v>
      </c>
      <c r="B69">
        <v>7.82</v>
      </c>
      <c r="C69">
        <v>24.055</v>
      </c>
      <c r="D69">
        <v>18.754000000000001</v>
      </c>
      <c r="E69">
        <v>14.862</v>
      </c>
      <c r="F69">
        <v>2.4900000000000002</v>
      </c>
      <c r="G69">
        <v>31</v>
      </c>
    </row>
    <row r="70" spans="1:7" x14ac:dyDescent="0.3">
      <c r="A70" s="10">
        <v>45772</v>
      </c>
      <c r="B70">
        <v>10.9375</v>
      </c>
      <c r="C70">
        <v>32.889000000000003</v>
      </c>
      <c r="D70">
        <v>24.094000000000001</v>
      </c>
      <c r="E70">
        <v>19.536999999999999</v>
      </c>
      <c r="F70">
        <v>4.7525000000000004</v>
      </c>
      <c r="G70">
        <v>41.5</v>
      </c>
    </row>
    <row r="71" spans="1:7" x14ac:dyDescent="0.3">
      <c r="A71" s="10">
        <v>45773</v>
      </c>
      <c r="B71">
        <v>10.5875</v>
      </c>
      <c r="C71">
        <v>34.033499999999997</v>
      </c>
      <c r="D71">
        <v>26.913500000000003</v>
      </c>
      <c r="E71">
        <v>21.360500000000002</v>
      </c>
      <c r="F71">
        <v>3.9474999999999998</v>
      </c>
      <c r="G71">
        <v>44.75</v>
      </c>
    </row>
    <row r="72" spans="1:7" x14ac:dyDescent="0.3">
      <c r="A72" s="10">
        <v>45775</v>
      </c>
      <c r="B72">
        <v>3.22</v>
      </c>
      <c r="C72">
        <v>9.4079999999999995</v>
      </c>
      <c r="D72">
        <v>8.33</v>
      </c>
      <c r="E72">
        <v>6.58</v>
      </c>
      <c r="F72">
        <v>1.4</v>
      </c>
      <c r="G72">
        <v>14</v>
      </c>
    </row>
    <row r="73" spans="1:7" x14ac:dyDescent="0.3">
      <c r="A73" s="10">
        <v>45777</v>
      </c>
      <c r="B73">
        <v>4.46</v>
      </c>
      <c r="C73">
        <v>13.308</v>
      </c>
      <c r="D73">
        <v>10.004000000000001</v>
      </c>
      <c r="E73">
        <v>8.1020000000000003</v>
      </c>
      <c r="F73">
        <v>1.78</v>
      </c>
      <c r="G73">
        <v>17</v>
      </c>
    </row>
    <row r="74" spans="1:7" x14ac:dyDescent="0.3">
      <c r="A74" s="10">
        <v>45778</v>
      </c>
      <c r="B74">
        <v>25.25</v>
      </c>
      <c r="C74">
        <v>73.517999999999986</v>
      </c>
      <c r="D74">
        <v>65.064999999999998</v>
      </c>
      <c r="E74">
        <v>51.290000000000006</v>
      </c>
      <c r="F74">
        <v>10.299999999999999</v>
      </c>
      <c r="G74">
        <v>109</v>
      </c>
    </row>
    <row r="75" spans="1:7" x14ac:dyDescent="0.3">
      <c r="A75" s="10">
        <v>45780</v>
      </c>
      <c r="B75">
        <v>24.330000000000002</v>
      </c>
      <c r="C75">
        <v>66.656000000000006</v>
      </c>
      <c r="D75">
        <v>54.496499999999997</v>
      </c>
      <c r="E75">
        <v>43.57200000000001</v>
      </c>
      <c r="F75">
        <v>9.0950000000000006</v>
      </c>
      <c r="G75">
        <v>92</v>
      </c>
    </row>
    <row r="76" spans="1:7" x14ac:dyDescent="0.3">
      <c r="A76" s="10">
        <v>45783</v>
      </c>
      <c r="B76">
        <v>13.44</v>
      </c>
      <c r="C76">
        <v>26.376000000000001</v>
      </c>
      <c r="D76">
        <v>25.2</v>
      </c>
      <c r="E76">
        <v>19.739999999999998</v>
      </c>
      <c r="F76">
        <v>3.36</v>
      </c>
      <c r="G76">
        <v>42</v>
      </c>
    </row>
    <row r="77" spans="1:7" x14ac:dyDescent="0.3">
      <c r="A77" s="10">
        <v>45784</v>
      </c>
      <c r="B77">
        <v>3.78</v>
      </c>
      <c r="C77">
        <v>13.914</v>
      </c>
      <c r="D77">
        <v>11.88</v>
      </c>
      <c r="E77">
        <v>8.82</v>
      </c>
      <c r="F77">
        <v>0</v>
      </c>
      <c r="G77">
        <v>18</v>
      </c>
    </row>
    <row r="78" spans="1:7" x14ac:dyDescent="0.3">
      <c r="A78" s="10">
        <v>45785</v>
      </c>
      <c r="B78">
        <v>9.4550000000000001</v>
      </c>
      <c r="C78">
        <v>22.948</v>
      </c>
      <c r="D78">
        <v>19.311</v>
      </c>
      <c r="E78">
        <v>15.382999999999999</v>
      </c>
      <c r="F78">
        <v>3.0049999999999999</v>
      </c>
      <c r="G78">
        <v>32.5</v>
      </c>
    </row>
    <row r="79" spans="1:7" x14ac:dyDescent="0.3">
      <c r="A79" s="10">
        <v>45786</v>
      </c>
      <c r="B79">
        <v>8.4</v>
      </c>
      <c r="C79">
        <v>30.92</v>
      </c>
      <c r="D79">
        <v>26.4</v>
      </c>
      <c r="E79">
        <v>19.600000000000001</v>
      </c>
      <c r="F79">
        <v>0</v>
      </c>
      <c r="G79">
        <v>40</v>
      </c>
    </row>
    <row r="80" spans="1:7" x14ac:dyDescent="0.3">
      <c r="A80" s="10">
        <v>45787</v>
      </c>
      <c r="B80">
        <v>25.200000000000003</v>
      </c>
      <c r="C80">
        <v>84.004000000000005</v>
      </c>
      <c r="D80">
        <v>62.423999999999999</v>
      </c>
      <c r="E80">
        <v>49.951999999999998</v>
      </c>
      <c r="F80">
        <v>9.24</v>
      </c>
      <c r="G80">
        <v>104</v>
      </c>
    </row>
    <row r="81" spans="1:7" x14ac:dyDescent="0.3">
      <c r="A81" s="10">
        <v>45788</v>
      </c>
      <c r="B81">
        <v>20.94</v>
      </c>
      <c r="C81">
        <v>69.573999999999998</v>
      </c>
      <c r="D81">
        <v>51.432000000000002</v>
      </c>
      <c r="E81">
        <v>41.275999999999996</v>
      </c>
      <c r="F81">
        <v>7.92</v>
      </c>
      <c r="G81">
        <v>86</v>
      </c>
    </row>
    <row r="82" spans="1:7" x14ac:dyDescent="0.3">
      <c r="A82" s="10">
        <v>45789</v>
      </c>
      <c r="B82">
        <v>19.79</v>
      </c>
      <c r="C82">
        <v>64.721999999999994</v>
      </c>
      <c r="D82">
        <v>50.177999999999997</v>
      </c>
      <c r="E82">
        <v>39.473999999999997</v>
      </c>
      <c r="F82">
        <v>5.28</v>
      </c>
      <c r="G82">
        <v>82</v>
      </c>
    </row>
    <row r="83" spans="1:7" x14ac:dyDescent="0.3">
      <c r="A83" s="10">
        <v>45790</v>
      </c>
      <c r="B83">
        <v>41.515000000000001</v>
      </c>
      <c r="C83">
        <v>123.33200000000001</v>
      </c>
      <c r="D83">
        <v>98.837500000000006</v>
      </c>
      <c r="E83">
        <v>79.015000000000001</v>
      </c>
      <c r="F83">
        <v>15.970000000000002</v>
      </c>
      <c r="G83">
        <v>166.5</v>
      </c>
    </row>
    <row r="84" spans="1:7" x14ac:dyDescent="0.3">
      <c r="A84" s="10">
        <v>45791</v>
      </c>
      <c r="B84">
        <v>11.33</v>
      </c>
      <c r="C84">
        <v>34.274000000000001</v>
      </c>
      <c r="D84">
        <v>25.582000000000001</v>
      </c>
      <c r="E84">
        <v>20.741</v>
      </c>
      <c r="F84">
        <v>4.5900000000000007</v>
      </c>
      <c r="G84">
        <v>43.5</v>
      </c>
    </row>
    <row r="85" spans="1:7" x14ac:dyDescent="0.3">
      <c r="A85" s="10">
        <v>45792</v>
      </c>
      <c r="B85">
        <v>9</v>
      </c>
      <c r="C85">
        <v>29.376000000000001</v>
      </c>
      <c r="D85">
        <v>21.096</v>
      </c>
      <c r="E85">
        <v>17.207999999999998</v>
      </c>
      <c r="F85">
        <v>3.96</v>
      </c>
      <c r="G85">
        <v>36</v>
      </c>
    </row>
    <row r="86" spans="1:7" x14ac:dyDescent="0.3">
      <c r="A86" s="10">
        <v>45793</v>
      </c>
      <c r="B86">
        <v>11.36</v>
      </c>
      <c r="C86">
        <v>34.56</v>
      </c>
      <c r="D86">
        <v>28.416000000000004</v>
      </c>
      <c r="E86">
        <v>22.688000000000002</v>
      </c>
      <c r="F86">
        <v>4.96</v>
      </c>
      <c r="G86">
        <v>48</v>
      </c>
    </row>
    <row r="87" spans="1:7" x14ac:dyDescent="0.3">
      <c r="A87" s="10">
        <v>45794</v>
      </c>
      <c r="B87">
        <v>26.98</v>
      </c>
      <c r="C87">
        <v>86.016000000000005</v>
      </c>
      <c r="D87">
        <v>64.694000000000003</v>
      </c>
      <c r="E87">
        <v>52.371999999999993</v>
      </c>
      <c r="F87">
        <v>11.84</v>
      </c>
      <c r="G87">
        <v>110</v>
      </c>
    </row>
    <row r="88" spans="1:7" x14ac:dyDescent="0.3">
      <c r="A88" s="10">
        <v>45795</v>
      </c>
      <c r="B88">
        <v>7</v>
      </c>
      <c r="C88">
        <v>22.847999999999999</v>
      </c>
      <c r="D88">
        <v>16.408000000000001</v>
      </c>
      <c r="E88">
        <v>13.384</v>
      </c>
      <c r="F88">
        <v>3.08</v>
      </c>
      <c r="G88">
        <v>28</v>
      </c>
    </row>
    <row r="89" spans="1:7" x14ac:dyDescent="0.3">
      <c r="A89" s="10">
        <v>45797</v>
      </c>
      <c r="B89">
        <v>15.425000000000001</v>
      </c>
      <c r="C89">
        <v>47.591999999999999</v>
      </c>
      <c r="D89">
        <v>38.111999999999995</v>
      </c>
      <c r="E89">
        <v>30.550999999999998</v>
      </c>
      <c r="F89">
        <v>6.7450000000000001</v>
      </c>
      <c r="G89">
        <v>64.5</v>
      </c>
    </row>
    <row r="90" spans="1:7" x14ac:dyDescent="0.3">
      <c r="A90" s="10">
        <v>45798</v>
      </c>
      <c r="B90">
        <v>16.5</v>
      </c>
      <c r="C90">
        <v>53.856000000000002</v>
      </c>
      <c r="D90">
        <v>38.676000000000002</v>
      </c>
      <c r="E90">
        <v>31.547999999999998</v>
      </c>
      <c r="F90">
        <v>7.26</v>
      </c>
      <c r="G90">
        <v>66</v>
      </c>
    </row>
    <row r="91" spans="1:7" x14ac:dyDescent="0.3">
      <c r="A91" s="10">
        <v>45799</v>
      </c>
      <c r="B91">
        <v>24.9025</v>
      </c>
      <c r="C91">
        <v>71.606999999999999</v>
      </c>
      <c r="D91">
        <v>63.271250000000009</v>
      </c>
      <c r="E91">
        <v>49.502499999999998</v>
      </c>
      <c r="F91">
        <v>7.7749999999999995</v>
      </c>
      <c r="G91">
        <v>104.75</v>
      </c>
    </row>
    <row r="92" spans="1:7" x14ac:dyDescent="0.3">
      <c r="A92" s="10">
        <v>45800</v>
      </c>
      <c r="B92">
        <v>21.650000000000002</v>
      </c>
      <c r="C92">
        <v>68.690999999999988</v>
      </c>
      <c r="D92">
        <v>51.056000000000004</v>
      </c>
      <c r="E92">
        <v>41.137999999999998</v>
      </c>
      <c r="F92">
        <v>7.81</v>
      </c>
      <c r="G92">
        <v>86</v>
      </c>
    </row>
    <row r="93" spans="1:7" x14ac:dyDescent="0.3">
      <c r="A93" s="10">
        <v>45801</v>
      </c>
      <c r="B93">
        <v>11.620000000000001</v>
      </c>
      <c r="C93">
        <v>27.329000000000001</v>
      </c>
      <c r="D93">
        <v>23.622</v>
      </c>
      <c r="E93">
        <v>18.690999999999999</v>
      </c>
      <c r="F93">
        <v>3.2800000000000002</v>
      </c>
      <c r="G93">
        <v>39.5</v>
      </c>
    </row>
    <row r="94" spans="1:7" x14ac:dyDescent="0.3">
      <c r="A94" s="10">
        <v>45802</v>
      </c>
      <c r="B94">
        <v>1.75</v>
      </c>
      <c r="C94">
        <v>5.7119999999999997</v>
      </c>
      <c r="D94">
        <v>4.1020000000000003</v>
      </c>
      <c r="E94">
        <v>3.3460000000000001</v>
      </c>
      <c r="F94">
        <v>0.77</v>
      </c>
      <c r="G94">
        <v>7</v>
      </c>
    </row>
    <row r="95" spans="1:7" x14ac:dyDescent="0.3">
      <c r="A95" s="10">
        <v>45803</v>
      </c>
      <c r="B95">
        <v>29.08</v>
      </c>
      <c r="C95">
        <v>94.121499999999997</v>
      </c>
      <c r="D95">
        <v>69.533000000000001</v>
      </c>
      <c r="E95">
        <v>56.334000000000003</v>
      </c>
      <c r="F95">
        <v>12.455000000000002</v>
      </c>
      <c r="G95">
        <v>118</v>
      </c>
    </row>
    <row r="96" spans="1:7" x14ac:dyDescent="0.3">
      <c r="A96" s="10">
        <v>45804</v>
      </c>
      <c r="B96">
        <v>3</v>
      </c>
      <c r="C96">
        <v>9.7919999999999998</v>
      </c>
      <c r="D96">
        <v>7.032</v>
      </c>
      <c r="E96">
        <v>5.7359999999999998</v>
      </c>
      <c r="F96">
        <v>1.32</v>
      </c>
      <c r="G96">
        <v>12</v>
      </c>
    </row>
    <row r="97" spans="1:7" x14ac:dyDescent="0.3">
      <c r="A97" s="10">
        <v>45805</v>
      </c>
      <c r="B97">
        <v>7.68</v>
      </c>
      <c r="C97">
        <v>15.071999999999999</v>
      </c>
      <c r="D97">
        <v>14.4</v>
      </c>
      <c r="E97">
        <v>11.28</v>
      </c>
      <c r="F97">
        <v>1.92</v>
      </c>
      <c r="G97">
        <v>24</v>
      </c>
    </row>
    <row r="98" spans="1:7" x14ac:dyDescent="0.3">
      <c r="A98" s="10">
        <v>45806</v>
      </c>
      <c r="B98">
        <v>8.6</v>
      </c>
      <c r="C98">
        <v>26.753999999999998</v>
      </c>
      <c r="D98">
        <v>20.364000000000001</v>
      </c>
      <c r="E98">
        <v>16.271999999999998</v>
      </c>
      <c r="F98">
        <v>2.64</v>
      </c>
      <c r="G98">
        <v>34</v>
      </c>
    </row>
    <row r="99" spans="1:7" x14ac:dyDescent="0.3">
      <c r="A99" s="10" t="s">
        <v>26</v>
      </c>
      <c r="B99">
        <v>1353.3825000000002</v>
      </c>
      <c r="C99">
        <v>3815.4775</v>
      </c>
      <c r="D99">
        <v>3154.8067499999993</v>
      </c>
      <c r="E99">
        <v>2499.5239999999994</v>
      </c>
      <c r="F99">
        <v>450.95999999999981</v>
      </c>
      <c r="G99">
        <v>5264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E3DE-8DB8-415F-B25A-DEE4DDD06531}">
  <dimension ref="A1:J82"/>
  <sheetViews>
    <sheetView topLeftCell="A10" zoomScale="80" workbookViewId="0">
      <selection sqref="A1:A1048576"/>
    </sheetView>
  </sheetViews>
  <sheetFormatPr defaultRowHeight="14.4" x14ac:dyDescent="0.3"/>
  <cols>
    <col min="1" max="1" width="18.77734375" customWidth="1"/>
    <col min="2" max="2" width="22.44140625" customWidth="1"/>
    <col min="5" max="5" width="12.5546875" bestFit="1" customWidth="1"/>
    <col min="6" max="6" width="26.6640625" bestFit="1" customWidth="1"/>
    <col min="8" max="8" width="12.5546875" bestFit="1" customWidth="1"/>
    <col min="9" max="9" width="13.44140625" bestFit="1" customWidth="1"/>
  </cols>
  <sheetData>
    <row r="1" spans="1:10" x14ac:dyDescent="0.3">
      <c r="A1" t="s">
        <v>80</v>
      </c>
      <c r="B1" t="s">
        <v>51</v>
      </c>
      <c r="C1" t="s">
        <v>52</v>
      </c>
    </row>
    <row r="2" spans="1:10" x14ac:dyDescent="0.3">
      <c r="A2" s="11" t="s">
        <v>103</v>
      </c>
      <c r="B2">
        <v>585.5</v>
      </c>
      <c r="C2" t="str">
        <f>IF(B2&gt;200, "High", IF(B2&gt;=70, "Medium", "Low"))</f>
        <v>High</v>
      </c>
    </row>
    <row r="3" spans="1:10" x14ac:dyDescent="0.3">
      <c r="A3" s="11" t="s">
        <v>140</v>
      </c>
      <c r="B3">
        <v>446.5</v>
      </c>
      <c r="C3" t="str">
        <f t="shared" ref="C3:C66" si="0">IF(B3&gt;200, "High", IF(B3&gt;=70, "Medium", "Low"))</f>
        <v>High</v>
      </c>
    </row>
    <row r="4" spans="1:10" x14ac:dyDescent="0.3">
      <c r="A4" s="11" t="s">
        <v>144</v>
      </c>
      <c r="B4">
        <v>403</v>
      </c>
      <c r="C4" t="str">
        <f t="shared" si="0"/>
        <v>High</v>
      </c>
      <c r="H4" s="9" t="s">
        <v>25</v>
      </c>
      <c r="I4" t="s">
        <v>58</v>
      </c>
    </row>
    <row r="5" spans="1:10" x14ac:dyDescent="0.3">
      <c r="A5" s="11" t="s">
        <v>137</v>
      </c>
      <c r="B5">
        <v>342.25</v>
      </c>
      <c r="C5" t="str">
        <f t="shared" si="0"/>
        <v>High</v>
      </c>
      <c r="H5" s="11" t="s">
        <v>53</v>
      </c>
      <c r="I5">
        <v>6</v>
      </c>
    </row>
    <row r="6" spans="1:10" x14ac:dyDescent="0.3">
      <c r="A6" s="11" t="s">
        <v>84</v>
      </c>
      <c r="B6">
        <v>247.5</v>
      </c>
      <c r="C6" t="str">
        <f t="shared" si="0"/>
        <v>High</v>
      </c>
      <c r="H6" s="11" t="s">
        <v>54</v>
      </c>
      <c r="I6">
        <v>66</v>
      </c>
    </row>
    <row r="7" spans="1:10" x14ac:dyDescent="0.3">
      <c r="A7" s="11" t="s">
        <v>145</v>
      </c>
      <c r="B7">
        <v>223.5</v>
      </c>
      <c r="C7" t="str">
        <f t="shared" si="0"/>
        <v>High</v>
      </c>
      <c r="E7" s="9" t="s">
        <v>25</v>
      </c>
      <c r="F7" t="s">
        <v>56</v>
      </c>
      <c r="H7" s="11" t="s">
        <v>55</v>
      </c>
      <c r="I7">
        <v>9</v>
      </c>
    </row>
    <row r="8" spans="1:10" x14ac:dyDescent="0.3">
      <c r="A8" s="11" t="s">
        <v>153</v>
      </c>
      <c r="B8">
        <v>189</v>
      </c>
      <c r="C8" t="str">
        <f t="shared" si="0"/>
        <v>Medium</v>
      </c>
      <c r="E8" s="11" t="s">
        <v>53</v>
      </c>
      <c r="F8">
        <v>2248.25</v>
      </c>
      <c r="H8" s="11" t="s">
        <v>26</v>
      </c>
      <c r="I8">
        <v>81</v>
      </c>
    </row>
    <row r="9" spans="1:10" x14ac:dyDescent="0.3">
      <c r="A9" s="11" t="s">
        <v>152</v>
      </c>
      <c r="B9">
        <v>187.5</v>
      </c>
      <c r="C9" t="str">
        <f t="shared" si="0"/>
        <v>Medium</v>
      </c>
      <c r="E9" s="11" t="s">
        <v>54</v>
      </c>
      <c r="F9">
        <v>1841</v>
      </c>
    </row>
    <row r="10" spans="1:10" x14ac:dyDescent="0.3">
      <c r="A10" s="11" t="s">
        <v>160</v>
      </c>
      <c r="B10">
        <v>171.5</v>
      </c>
      <c r="C10" t="str">
        <f t="shared" si="0"/>
        <v>Medium</v>
      </c>
      <c r="E10" s="11" t="s">
        <v>55</v>
      </c>
      <c r="F10">
        <v>1174.75</v>
      </c>
    </row>
    <row r="11" spans="1:10" x14ac:dyDescent="0.3">
      <c r="A11" s="11" t="s">
        <v>121</v>
      </c>
      <c r="B11">
        <v>168.75</v>
      </c>
      <c r="C11" t="str">
        <f t="shared" si="0"/>
        <v>Medium</v>
      </c>
      <c r="E11" s="11" t="s">
        <v>26</v>
      </c>
      <c r="F11">
        <v>5264</v>
      </c>
      <c r="I11" t="s">
        <v>52</v>
      </c>
      <c r="J11" t="s">
        <v>59</v>
      </c>
    </row>
    <row r="12" spans="1:10" x14ac:dyDescent="0.3">
      <c r="A12" s="11" t="s">
        <v>122</v>
      </c>
      <c r="B12">
        <v>112</v>
      </c>
      <c r="C12" t="str">
        <f t="shared" si="0"/>
        <v>Medium</v>
      </c>
      <c r="I12" s="11" t="s">
        <v>53</v>
      </c>
      <c r="J12">
        <v>6</v>
      </c>
    </row>
    <row r="13" spans="1:10" x14ac:dyDescent="0.3">
      <c r="A13" s="11" t="s">
        <v>86</v>
      </c>
      <c r="B13">
        <v>105</v>
      </c>
      <c r="C13" t="str">
        <f t="shared" si="0"/>
        <v>Medium</v>
      </c>
      <c r="I13" s="11" t="s">
        <v>54</v>
      </c>
      <c r="J13">
        <v>66</v>
      </c>
    </row>
    <row r="14" spans="1:10" x14ac:dyDescent="0.3">
      <c r="A14" s="11" t="s">
        <v>127</v>
      </c>
      <c r="B14">
        <v>94.5</v>
      </c>
      <c r="C14" t="str">
        <f t="shared" si="0"/>
        <v>Medium</v>
      </c>
      <c r="F14" t="s">
        <v>52</v>
      </c>
      <c r="G14" t="s">
        <v>57</v>
      </c>
      <c r="I14" s="11" t="s">
        <v>55</v>
      </c>
      <c r="J14">
        <v>9</v>
      </c>
    </row>
    <row r="15" spans="1:10" x14ac:dyDescent="0.3">
      <c r="A15" s="11" t="s">
        <v>129</v>
      </c>
      <c r="B15">
        <v>74.5</v>
      </c>
      <c r="C15" t="str">
        <f t="shared" si="0"/>
        <v>Medium</v>
      </c>
      <c r="F15" s="11" t="s">
        <v>53</v>
      </c>
      <c r="G15">
        <v>2248.25</v>
      </c>
    </row>
    <row r="16" spans="1:10" x14ac:dyDescent="0.3">
      <c r="A16" s="11" t="s">
        <v>110</v>
      </c>
      <c r="B16">
        <v>72</v>
      </c>
      <c r="C16" t="str">
        <f t="shared" si="0"/>
        <v>Medium</v>
      </c>
      <c r="F16" s="11" t="s">
        <v>54</v>
      </c>
      <c r="G16">
        <v>1841</v>
      </c>
    </row>
    <row r="17" spans="1:7" x14ac:dyDescent="0.3">
      <c r="A17" s="11" t="s">
        <v>158</v>
      </c>
      <c r="B17">
        <v>68.5</v>
      </c>
      <c r="C17" t="str">
        <f t="shared" si="0"/>
        <v>Low</v>
      </c>
      <c r="F17" s="11" t="s">
        <v>55</v>
      </c>
      <c r="G17">
        <v>1174.75</v>
      </c>
    </row>
    <row r="18" spans="1:7" x14ac:dyDescent="0.3">
      <c r="A18" s="11" t="s">
        <v>134</v>
      </c>
      <c r="B18">
        <v>68</v>
      </c>
      <c r="C18" t="str">
        <f t="shared" si="0"/>
        <v>Low</v>
      </c>
    </row>
    <row r="19" spans="1:7" x14ac:dyDescent="0.3">
      <c r="A19" s="11" t="s">
        <v>104</v>
      </c>
      <c r="B19">
        <v>67</v>
      </c>
      <c r="C19" t="str">
        <f t="shared" si="0"/>
        <v>Low</v>
      </c>
    </row>
    <row r="20" spans="1:7" x14ac:dyDescent="0.3">
      <c r="A20" s="11" t="s">
        <v>97</v>
      </c>
      <c r="B20">
        <v>66.5</v>
      </c>
      <c r="C20" t="str">
        <f t="shared" si="0"/>
        <v>Low</v>
      </c>
    </row>
    <row r="21" spans="1:7" x14ac:dyDescent="0.3">
      <c r="A21" s="11" t="s">
        <v>157</v>
      </c>
      <c r="B21">
        <v>66</v>
      </c>
      <c r="C21" t="str">
        <f t="shared" si="0"/>
        <v>Low</v>
      </c>
    </row>
    <row r="22" spans="1:7" x14ac:dyDescent="0.3">
      <c r="A22" s="11" t="s">
        <v>99</v>
      </c>
      <c r="B22">
        <v>63</v>
      </c>
      <c r="C22" t="str">
        <f t="shared" si="0"/>
        <v>Low</v>
      </c>
    </row>
    <row r="23" spans="1:7" x14ac:dyDescent="0.3">
      <c r="A23" s="11" t="s">
        <v>119</v>
      </c>
      <c r="B23">
        <v>62</v>
      </c>
      <c r="C23" t="str">
        <f t="shared" si="0"/>
        <v>Low</v>
      </c>
    </row>
    <row r="24" spans="1:7" x14ac:dyDescent="0.3">
      <c r="A24" s="11" t="s">
        <v>139</v>
      </c>
      <c r="B24">
        <v>57</v>
      </c>
      <c r="C24" t="str">
        <f t="shared" si="0"/>
        <v>Low</v>
      </c>
    </row>
    <row r="25" spans="1:7" x14ac:dyDescent="0.3">
      <c r="A25" s="11" t="s">
        <v>156</v>
      </c>
      <c r="B25">
        <v>56</v>
      </c>
      <c r="C25" t="str">
        <f t="shared" si="0"/>
        <v>Low</v>
      </c>
    </row>
    <row r="26" spans="1:7" x14ac:dyDescent="0.3">
      <c r="A26" s="11" t="s">
        <v>98</v>
      </c>
      <c r="B26">
        <v>55.5</v>
      </c>
      <c r="C26" t="str">
        <f t="shared" si="0"/>
        <v>Low</v>
      </c>
    </row>
    <row r="27" spans="1:7" x14ac:dyDescent="0.3">
      <c r="A27" s="11" t="s">
        <v>94</v>
      </c>
      <c r="B27">
        <v>54.5</v>
      </c>
      <c r="C27" t="str">
        <f t="shared" si="0"/>
        <v>Low</v>
      </c>
    </row>
    <row r="28" spans="1:7" x14ac:dyDescent="0.3">
      <c r="A28" s="11" t="s">
        <v>143</v>
      </c>
      <c r="B28">
        <v>52</v>
      </c>
      <c r="C28" t="str">
        <f t="shared" si="0"/>
        <v>Low</v>
      </c>
    </row>
    <row r="29" spans="1:7" x14ac:dyDescent="0.3">
      <c r="A29" s="11" t="s">
        <v>142</v>
      </c>
      <c r="B29">
        <v>50.5</v>
      </c>
      <c r="C29" t="str">
        <f t="shared" si="0"/>
        <v>Low</v>
      </c>
    </row>
    <row r="30" spans="1:7" x14ac:dyDescent="0.3">
      <c r="A30" s="11" t="s">
        <v>100</v>
      </c>
      <c r="B30">
        <v>47.5</v>
      </c>
      <c r="C30" t="str">
        <f t="shared" si="0"/>
        <v>Low</v>
      </c>
    </row>
    <row r="31" spans="1:7" x14ac:dyDescent="0.3">
      <c r="A31" s="11" t="s">
        <v>90</v>
      </c>
      <c r="B31">
        <v>47</v>
      </c>
      <c r="C31" t="str">
        <f t="shared" si="0"/>
        <v>Low</v>
      </c>
    </row>
    <row r="32" spans="1:7" x14ac:dyDescent="0.3">
      <c r="A32" s="11" t="s">
        <v>132</v>
      </c>
      <c r="B32">
        <v>43</v>
      </c>
      <c r="C32" t="str">
        <f t="shared" si="0"/>
        <v>Low</v>
      </c>
    </row>
    <row r="33" spans="1:3" x14ac:dyDescent="0.3">
      <c r="A33" s="11" t="s">
        <v>91</v>
      </c>
      <c r="B33">
        <v>42</v>
      </c>
      <c r="C33" t="str">
        <f t="shared" si="0"/>
        <v>Low</v>
      </c>
    </row>
    <row r="34" spans="1:3" x14ac:dyDescent="0.3">
      <c r="A34" s="11" t="s">
        <v>95</v>
      </c>
      <c r="B34">
        <v>42</v>
      </c>
      <c r="C34" t="str">
        <f t="shared" si="0"/>
        <v>Low</v>
      </c>
    </row>
    <row r="35" spans="1:3" x14ac:dyDescent="0.3">
      <c r="A35" s="11" t="s">
        <v>88</v>
      </c>
      <c r="B35">
        <v>40</v>
      </c>
      <c r="C35" t="str">
        <f t="shared" si="0"/>
        <v>Low</v>
      </c>
    </row>
    <row r="36" spans="1:3" x14ac:dyDescent="0.3">
      <c r="A36" s="11" t="s">
        <v>161</v>
      </c>
      <c r="B36">
        <v>38</v>
      </c>
      <c r="C36" t="str">
        <f t="shared" si="0"/>
        <v>Low</v>
      </c>
    </row>
    <row r="37" spans="1:3" x14ac:dyDescent="0.3">
      <c r="A37" s="11" t="s">
        <v>150</v>
      </c>
      <c r="B37">
        <v>37.5</v>
      </c>
      <c r="C37" t="str">
        <f t="shared" si="0"/>
        <v>Low</v>
      </c>
    </row>
    <row r="38" spans="1:3" x14ac:dyDescent="0.3">
      <c r="A38" s="11" t="s">
        <v>151</v>
      </c>
      <c r="B38">
        <v>37</v>
      </c>
      <c r="C38" t="str">
        <f t="shared" si="0"/>
        <v>Low</v>
      </c>
    </row>
    <row r="39" spans="1:3" x14ac:dyDescent="0.3">
      <c r="A39" s="11" t="s">
        <v>128</v>
      </c>
      <c r="B39">
        <v>36.5</v>
      </c>
      <c r="C39" t="str">
        <f t="shared" si="0"/>
        <v>Low</v>
      </c>
    </row>
    <row r="40" spans="1:3" x14ac:dyDescent="0.3">
      <c r="A40" s="11" t="s">
        <v>141</v>
      </c>
      <c r="B40">
        <v>35</v>
      </c>
      <c r="C40" t="str">
        <f t="shared" si="0"/>
        <v>Low</v>
      </c>
    </row>
    <row r="41" spans="1:3" x14ac:dyDescent="0.3">
      <c r="A41" s="11" t="s">
        <v>147</v>
      </c>
      <c r="B41">
        <v>35</v>
      </c>
      <c r="C41" t="str">
        <f t="shared" si="0"/>
        <v>Low</v>
      </c>
    </row>
    <row r="42" spans="1:3" x14ac:dyDescent="0.3">
      <c r="A42" s="11" t="s">
        <v>120</v>
      </c>
      <c r="B42">
        <v>33</v>
      </c>
      <c r="C42" t="str">
        <f t="shared" si="0"/>
        <v>Low</v>
      </c>
    </row>
    <row r="43" spans="1:3" x14ac:dyDescent="0.3">
      <c r="A43" s="11" t="s">
        <v>117</v>
      </c>
      <c r="B43">
        <v>29</v>
      </c>
      <c r="C43" t="str">
        <f t="shared" si="0"/>
        <v>Low</v>
      </c>
    </row>
    <row r="44" spans="1:3" x14ac:dyDescent="0.3">
      <c r="A44" s="11" t="s">
        <v>102</v>
      </c>
      <c r="B44">
        <v>26</v>
      </c>
      <c r="C44" t="str">
        <f t="shared" si="0"/>
        <v>Low</v>
      </c>
    </row>
    <row r="45" spans="1:3" x14ac:dyDescent="0.3">
      <c r="A45" s="11" t="s">
        <v>154</v>
      </c>
      <c r="B45">
        <v>26</v>
      </c>
      <c r="C45" t="str">
        <f t="shared" si="0"/>
        <v>Low</v>
      </c>
    </row>
    <row r="46" spans="1:3" x14ac:dyDescent="0.3">
      <c r="A46" s="11" t="s">
        <v>81</v>
      </c>
      <c r="B46">
        <v>21.5</v>
      </c>
      <c r="C46" t="str">
        <f t="shared" si="0"/>
        <v>Low</v>
      </c>
    </row>
    <row r="47" spans="1:3" x14ac:dyDescent="0.3">
      <c r="A47" s="11" t="s">
        <v>138</v>
      </c>
      <c r="B47">
        <v>21</v>
      </c>
      <c r="C47" t="str">
        <f t="shared" si="0"/>
        <v>Low</v>
      </c>
    </row>
    <row r="48" spans="1:3" x14ac:dyDescent="0.3">
      <c r="A48" s="11" t="s">
        <v>148</v>
      </c>
      <c r="B48">
        <v>21</v>
      </c>
      <c r="C48" t="str">
        <f t="shared" si="0"/>
        <v>Low</v>
      </c>
    </row>
    <row r="49" spans="1:3" x14ac:dyDescent="0.3">
      <c r="A49" s="11" t="s">
        <v>123</v>
      </c>
      <c r="B49">
        <v>20.5</v>
      </c>
      <c r="C49" t="str">
        <f t="shared" si="0"/>
        <v>Low</v>
      </c>
    </row>
    <row r="50" spans="1:3" x14ac:dyDescent="0.3">
      <c r="A50" s="11" t="s">
        <v>114</v>
      </c>
      <c r="B50">
        <v>20</v>
      </c>
      <c r="C50" t="str">
        <f t="shared" si="0"/>
        <v>Low</v>
      </c>
    </row>
    <row r="51" spans="1:3" x14ac:dyDescent="0.3">
      <c r="A51" s="11" t="s">
        <v>108</v>
      </c>
      <c r="B51">
        <v>19</v>
      </c>
      <c r="C51" t="str">
        <f t="shared" si="0"/>
        <v>Low</v>
      </c>
    </row>
    <row r="52" spans="1:3" x14ac:dyDescent="0.3">
      <c r="A52" s="11" t="s">
        <v>146</v>
      </c>
      <c r="B52">
        <v>18.5</v>
      </c>
      <c r="C52" t="str">
        <f t="shared" si="0"/>
        <v>Low</v>
      </c>
    </row>
    <row r="53" spans="1:3" x14ac:dyDescent="0.3">
      <c r="A53" s="11" t="s">
        <v>130</v>
      </c>
      <c r="B53">
        <v>17.5</v>
      </c>
      <c r="C53" t="str">
        <f t="shared" si="0"/>
        <v>Low</v>
      </c>
    </row>
    <row r="54" spans="1:3" x14ac:dyDescent="0.3">
      <c r="A54" s="11" t="s">
        <v>92</v>
      </c>
      <c r="B54">
        <v>16</v>
      </c>
      <c r="C54" t="str">
        <f t="shared" si="0"/>
        <v>Low</v>
      </c>
    </row>
    <row r="55" spans="1:3" x14ac:dyDescent="0.3">
      <c r="A55" s="11" t="s">
        <v>118</v>
      </c>
      <c r="B55">
        <v>16</v>
      </c>
      <c r="C55" t="str">
        <f t="shared" si="0"/>
        <v>Low</v>
      </c>
    </row>
    <row r="56" spans="1:3" x14ac:dyDescent="0.3">
      <c r="A56" s="11" t="s">
        <v>135</v>
      </c>
      <c r="B56">
        <v>15</v>
      </c>
      <c r="C56" t="str">
        <f t="shared" si="0"/>
        <v>Low</v>
      </c>
    </row>
    <row r="57" spans="1:3" x14ac:dyDescent="0.3">
      <c r="A57" s="11" t="s">
        <v>85</v>
      </c>
      <c r="B57">
        <v>14</v>
      </c>
      <c r="C57" t="str">
        <f t="shared" si="0"/>
        <v>Low</v>
      </c>
    </row>
    <row r="58" spans="1:3" x14ac:dyDescent="0.3">
      <c r="A58" s="11" t="s">
        <v>111</v>
      </c>
      <c r="B58">
        <v>14</v>
      </c>
      <c r="C58" t="str">
        <f t="shared" si="0"/>
        <v>Low</v>
      </c>
    </row>
    <row r="59" spans="1:3" x14ac:dyDescent="0.3">
      <c r="A59" s="11" t="s">
        <v>116</v>
      </c>
      <c r="B59">
        <v>14</v>
      </c>
      <c r="C59" t="str">
        <f t="shared" si="0"/>
        <v>Low</v>
      </c>
    </row>
    <row r="60" spans="1:3" x14ac:dyDescent="0.3">
      <c r="A60" s="11" t="s">
        <v>125</v>
      </c>
      <c r="B60">
        <v>14</v>
      </c>
      <c r="C60" t="str">
        <f t="shared" si="0"/>
        <v>Low</v>
      </c>
    </row>
    <row r="61" spans="1:3" x14ac:dyDescent="0.3">
      <c r="A61" s="11" t="s">
        <v>133</v>
      </c>
      <c r="B61">
        <v>14</v>
      </c>
      <c r="C61" t="str">
        <f t="shared" si="0"/>
        <v>Low</v>
      </c>
    </row>
    <row r="62" spans="1:3" x14ac:dyDescent="0.3">
      <c r="A62" s="11" t="s">
        <v>113</v>
      </c>
      <c r="B62">
        <v>13</v>
      </c>
      <c r="C62" t="str">
        <f t="shared" si="0"/>
        <v>Low</v>
      </c>
    </row>
    <row r="63" spans="1:3" x14ac:dyDescent="0.3">
      <c r="A63" s="11" t="s">
        <v>83</v>
      </c>
      <c r="B63">
        <v>12.5</v>
      </c>
      <c r="C63" t="str">
        <f t="shared" si="0"/>
        <v>Low</v>
      </c>
    </row>
    <row r="64" spans="1:3" x14ac:dyDescent="0.3">
      <c r="A64" s="11" t="s">
        <v>105</v>
      </c>
      <c r="B64">
        <v>12.5</v>
      </c>
      <c r="C64" t="str">
        <f t="shared" si="0"/>
        <v>Low</v>
      </c>
    </row>
    <row r="65" spans="1:3" x14ac:dyDescent="0.3">
      <c r="A65" s="11" t="s">
        <v>89</v>
      </c>
      <c r="B65">
        <v>12</v>
      </c>
      <c r="C65" t="str">
        <f t="shared" si="0"/>
        <v>Low</v>
      </c>
    </row>
    <row r="66" spans="1:3" x14ac:dyDescent="0.3">
      <c r="A66" s="11" t="s">
        <v>131</v>
      </c>
      <c r="B66">
        <v>12</v>
      </c>
      <c r="C66" t="str">
        <f t="shared" si="0"/>
        <v>Low</v>
      </c>
    </row>
    <row r="67" spans="1:3" x14ac:dyDescent="0.3">
      <c r="A67" s="11" t="s">
        <v>126</v>
      </c>
      <c r="B67">
        <v>11.5</v>
      </c>
      <c r="C67" t="str">
        <f t="shared" ref="C67:C82" si="1">IF(B67&gt;200, "High", IF(B67&gt;=70, "Medium", "Low"))</f>
        <v>Low</v>
      </c>
    </row>
    <row r="68" spans="1:3" x14ac:dyDescent="0.3">
      <c r="A68" s="11" t="s">
        <v>155</v>
      </c>
      <c r="B68">
        <v>11</v>
      </c>
      <c r="C68" t="str">
        <f t="shared" si="1"/>
        <v>Low</v>
      </c>
    </row>
    <row r="69" spans="1:3" x14ac:dyDescent="0.3">
      <c r="A69" s="11" t="s">
        <v>159</v>
      </c>
      <c r="B69">
        <v>11</v>
      </c>
      <c r="C69" t="str">
        <f t="shared" si="1"/>
        <v>Low</v>
      </c>
    </row>
    <row r="70" spans="1:3" x14ac:dyDescent="0.3">
      <c r="A70" s="11" t="s">
        <v>101</v>
      </c>
      <c r="B70">
        <v>10.5</v>
      </c>
      <c r="C70" t="str">
        <f t="shared" si="1"/>
        <v>Low</v>
      </c>
    </row>
    <row r="71" spans="1:3" x14ac:dyDescent="0.3">
      <c r="A71" s="11" t="s">
        <v>136</v>
      </c>
      <c r="B71">
        <v>10</v>
      </c>
      <c r="C71" t="str">
        <f t="shared" si="1"/>
        <v>Low</v>
      </c>
    </row>
    <row r="72" spans="1:3" x14ac:dyDescent="0.3">
      <c r="A72" s="11" t="s">
        <v>82</v>
      </c>
      <c r="B72">
        <v>9</v>
      </c>
      <c r="C72" t="str">
        <f t="shared" si="1"/>
        <v>Low</v>
      </c>
    </row>
    <row r="73" spans="1:3" x14ac:dyDescent="0.3">
      <c r="A73" s="11" t="s">
        <v>106</v>
      </c>
      <c r="B73">
        <v>8.5</v>
      </c>
      <c r="C73" t="str">
        <f t="shared" si="1"/>
        <v>Low</v>
      </c>
    </row>
    <row r="74" spans="1:3" x14ac:dyDescent="0.3">
      <c r="A74" s="11" t="s">
        <v>96</v>
      </c>
      <c r="B74">
        <v>7</v>
      </c>
      <c r="C74" t="str">
        <f t="shared" si="1"/>
        <v>Low</v>
      </c>
    </row>
    <row r="75" spans="1:3" x14ac:dyDescent="0.3">
      <c r="A75" s="11" t="s">
        <v>115</v>
      </c>
      <c r="B75">
        <v>7</v>
      </c>
      <c r="C75" t="str">
        <f t="shared" si="1"/>
        <v>Low</v>
      </c>
    </row>
    <row r="76" spans="1:3" x14ac:dyDescent="0.3">
      <c r="A76" s="11" t="s">
        <v>124</v>
      </c>
      <c r="B76">
        <v>7</v>
      </c>
      <c r="C76" t="str">
        <f t="shared" si="1"/>
        <v>Low</v>
      </c>
    </row>
    <row r="77" spans="1:3" x14ac:dyDescent="0.3">
      <c r="A77" s="11" t="s">
        <v>149</v>
      </c>
      <c r="B77">
        <v>7</v>
      </c>
      <c r="C77" t="str">
        <f t="shared" si="1"/>
        <v>Low</v>
      </c>
    </row>
    <row r="78" spans="1:3" x14ac:dyDescent="0.3">
      <c r="A78" s="11" t="s">
        <v>109</v>
      </c>
      <c r="B78">
        <v>6</v>
      </c>
      <c r="C78" t="str">
        <f t="shared" si="1"/>
        <v>Low</v>
      </c>
    </row>
    <row r="79" spans="1:3" x14ac:dyDescent="0.3">
      <c r="A79" s="11" t="s">
        <v>87</v>
      </c>
      <c r="B79">
        <v>5</v>
      </c>
      <c r="C79" t="str">
        <f t="shared" si="1"/>
        <v>Low</v>
      </c>
    </row>
    <row r="80" spans="1:3" x14ac:dyDescent="0.3">
      <c r="A80" s="11" t="s">
        <v>107</v>
      </c>
      <c r="B80">
        <v>4.5</v>
      </c>
      <c r="C80" t="str">
        <f t="shared" si="1"/>
        <v>Low</v>
      </c>
    </row>
    <row r="81" spans="1:3" x14ac:dyDescent="0.3">
      <c r="A81" s="11" t="s">
        <v>93</v>
      </c>
      <c r="B81">
        <v>4</v>
      </c>
      <c r="C81" t="str">
        <f t="shared" si="1"/>
        <v>Low</v>
      </c>
    </row>
    <row r="82" spans="1:3" x14ac:dyDescent="0.3">
      <c r="A82" s="11" t="s">
        <v>112</v>
      </c>
      <c r="B82">
        <v>3</v>
      </c>
      <c r="C82" t="str">
        <f t="shared" si="1"/>
        <v>Low</v>
      </c>
    </row>
  </sheetData>
  <sortState xmlns:xlrd2="http://schemas.microsoft.com/office/spreadsheetml/2017/richdata2" ref="A2:B82">
    <sortCondition descending="1" ref="B2:B82"/>
  </sortState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4E8E-4C30-48BF-AA3A-B0D91CB18560}">
  <dimension ref="A2:F31"/>
  <sheetViews>
    <sheetView tabSelected="1" workbookViewId="0">
      <selection activeCell="B26" sqref="B26"/>
    </sheetView>
  </sheetViews>
  <sheetFormatPr defaultRowHeight="14.4" x14ac:dyDescent="0.3"/>
  <cols>
    <col min="1" max="1" width="12.5546875" bestFit="1" customWidth="1"/>
    <col min="2" max="2" width="17.5546875" bestFit="1" customWidth="1"/>
    <col min="5" max="5" width="18.88671875" customWidth="1"/>
    <col min="6" max="6" width="18.33203125" customWidth="1"/>
  </cols>
  <sheetData>
    <row r="2" spans="1:6" x14ac:dyDescent="0.3">
      <c r="D2" s="6" t="s">
        <v>75</v>
      </c>
      <c r="E2" s="6" t="s">
        <v>76</v>
      </c>
      <c r="F2" s="6" t="s">
        <v>77</v>
      </c>
    </row>
    <row r="3" spans="1:6" x14ac:dyDescent="0.3">
      <c r="A3" s="9" t="s">
        <v>25</v>
      </c>
      <c r="B3" t="s">
        <v>50</v>
      </c>
      <c r="D3" s="11">
        <v>5</v>
      </c>
      <c r="E3">
        <v>6</v>
      </c>
      <c r="F3">
        <v>6</v>
      </c>
    </row>
    <row r="4" spans="1:6" x14ac:dyDescent="0.3">
      <c r="A4" s="11">
        <v>5</v>
      </c>
      <c r="B4">
        <v>6</v>
      </c>
      <c r="D4" s="11">
        <v>6</v>
      </c>
      <c r="E4">
        <v>234</v>
      </c>
      <c r="F4">
        <v>234</v>
      </c>
    </row>
    <row r="5" spans="1:6" x14ac:dyDescent="0.3">
      <c r="A5" s="11">
        <v>6</v>
      </c>
      <c r="B5">
        <v>234</v>
      </c>
      <c r="D5" s="11">
        <v>7</v>
      </c>
      <c r="E5">
        <v>454</v>
      </c>
      <c r="F5">
        <f>AVERAGE(E3:E5)</f>
        <v>231.33333333333334</v>
      </c>
    </row>
    <row r="6" spans="1:6" x14ac:dyDescent="0.3">
      <c r="A6" s="11">
        <v>7</v>
      </c>
      <c r="B6">
        <v>454</v>
      </c>
      <c r="D6" s="11">
        <v>8</v>
      </c>
      <c r="E6">
        <v>285</v>
      </c>
      <c r="F6">
        <f t="shared" ref="F6:F20" si="0">AVERAGE(E4:E6)</f>
        <v>324.33333333333331</v>
      </c>
    </row>
    <row r="7" spans="1:6" x14ac:dyDescent="0.3">
      <c r="A7" s="11">
        <v>8</v>
      </c>
      <c r="B7">
        <v>285</v>
      </c>
      <c r="D7" s="11">
        <v>9</v>
      </c>
      <c r="E7">
        <v>267.5</v>
      </c>
      <c r="F7">
        <f t="shared" si="0"/>
        <v>335.5</v>
      </c>
    </row>
    <row r="8" spans="1:6" x14ac:dyDescent="0.3">
      <c r="A8" s="11">
        <v>9</v>
      </c>
      <c r="B8">
        <v>267.5</v>
      </c>
      <c r="D8" s="11">
        <v>10</v>
      </c>
      <c r="E8">
        <v>256.5</v>
      </c>
      <c r="F8">
        <f t="shared" si="0"/>
        <v>269.66666666666669</v>
      </c>
    </row>
    <row r="9" spans="1:6" x14ac:dyDescent="0.3">
      <c r="A9" s="11">
        <v>10</v>
      </c>
      <c r="B9">
        <v>256.5</v>
      </c>
      <c r="D9" s="11">
        <v>11</v>
      </c>
      <c r="E9">
        <v>122.5</v>
      </c>
      <c r="F9">
        <f t="shared" si="0"/>
        <v>215.5</v>
      </c>
    </row>
    <row r="10" spans="1:6" x14ac:dyDescent="0.3">
      <c r="A10" s="11">
        <v>11</v>
      </c>
      <c r="B10">
        <v>122.5</v>
      </c>
      <c r="D10" s="11">
        <v>12</v>
      </c>
      <c r="E10">
        <v>198</v>
      </c>
      <c r="F10">
        <f t="shared" si="0"/>
        <v>192.33333333333334</v>
      </c>
    </row>
    <row r="11" spans="1:6" x14ac:dyDescent="0.3">
      <c r="A11" s="11">
        <v>12</v>
      </c>
      <c r="B11">
        <v>198</v>
      </c>
      <c r="D11" s="11">
        <v>13</v>
      </c>
      <c r="E11">
        <v>629</v>
      </c>
      <c r="F11">
        <f t="shared" si="0"/>
        <v>316.5</v>
      </c>
    </row>
    <row r="12" spans="1:6" x14ac:dyDescent="0.3">
      <c r="A12" s="11">
        <v>13</v>
      </c>
      <c r="B12">
        <v>629</v>
      </c>
      <c r="D12" s="11">
        <v>14</v>
      </c>
      <c r="E12">
        <v>119</v>
      </c>
      <c r="F12">
        <f t="shared" si="0"/>
        <v>315.33333333333331</v>
      </c>
    </row>
    <row r="13" spans="1:6" x14ac:dyDescent="0.3">
      <c r="A13" s="11">
        <v>14</v>
      </c>
      <c r="B13">
        <v>119</v>
      </c>
      <c r="D13" s="11">
        <v>15</v>
      </c>
      <c r="E13">
        <v>545</v>
      </c>
      <c r="F13">
        <f t="shared" si="0"/>
        <v>431</v>
      </c>
    </row>
    <row r="14" spans="1:6" x14ac:dyDescent="0.3">
      <c r="A14" s="11">
        <v>15</v>
      </c>
      <c r="B14">
        <v>545</v>
      </c>
      <c r="D14" s="11">
        <v>16</v>
      </c>
      <c r="E14">
        <v>288.5</v>
      </c>
      <c r="F14">
        <f t="shared" si="0"/>
        <v>317.5</v>
      </c>
    </row>
    <row r="15" spans="1:6" x14ac:dyDescent="0.3">
      <c r="A15" s="11">
        <v>16</v>
      </c>
      <c r="B15">
        <v>288.5</v>
      </c>
      <c r="D15" s="11">
        <v>17</v>
      </c>
      <c r="E15">
        <v>234.75</v>
      </c>
      <c r="F15">
        <f t="shared" si="0"/>
        <v>356.08333333333331</v>
      </c>
    </row>
    <row r="16" spans="1:6" x14ac:dyDescent="0.3">
      <c r="A16" s="11">
        <v>17</v>
      </c>
      <c r="B16">
        <v>234.75</v>
      </c>
      <c r="D16" s="11">
        <v>18</v>
      </c>
      <c r="E16">
        <v>232</v>
      </c>
      <c r="F16">
        <f t="shared" si="0"/>
        <v>251.75</v>
      </c>
    </row>
    <row r="17" spans="1:6" x14ac:dyDescent="0.3">
      <c r="A17" s="11">
        <v>18</v>
      </c>
      <c r="B17">
        <v>232</v>
      </c>
      <c r="D17" s="11">
        <v>19</v>
      </c>
      <c r="E17">
        <v>236.5</v>
      </c>
      <c r="F17">
        <f t="shared" si="0"/>
        <v>234.41666666666666</v>
      </c>
    </row>
    <row r="18" spans="1:6" x14ac:dyDescent="0.3">
      <c r="A18" s="11">
        <v>19</v>
      </c>
      <c r="B18">
        <v>236.5</v>
      </c>
      <c r="D18" s="11">
        <v>20</v>
      </c>
      <c r="E18">
        <v>572</v>
      </c>
      <c r="F18">
        <f t="shared" si="0"/>
        <v>346.83333333333331</v>
      </c>
    </row>
    <row r="19" spans="1:6" x14ac:dyDescent="0.3">
      <c r="A19" s="11">
        <v>20</v>
      </c>
      <c r="B19">
        <v>572</v>
      </c>
      <c r="D19" s="11">
        <v>21</v>
      </c>
      <c r="E19">
        <v>388.75</v>
      </c>
      <c r="F19">
        <f t="shared" si="0"/>
        <v>399.08333333333331</v>
      </c>
    </row>
    <row r="20" spans="1:6" x14ac:dyDescent="0.3">
      <c r="A20" s="11">
        <v>21</v>
      </c>
      <c r="B20">
        <v>388.75</v>
      </c>
      <c r="D20" s="11">
        <v>22</v>
      </c>
      <c r="E20">
        <v>195</v>
      </c>
      <c r="F20">
        <f t="shared" si="0"/>
        <v>385.25</v>
      </c>
    </row>
    <row r="21" spans="1:6" x14ac:dyDescent="0.3">
      <c r="A21" s="11">
        <v>22</v>
      </c>
      <c r="B21">
        <v>195</v>
      </c>
    </row>
    <row r="22" spans="1:6" x14ac:dyDescent="0.3">
      <c r="A22" s="11" t="s">
        <v>26</v>
      </c>
      <c r="B22">
        <v>5264</v>
      </c>
    </row>
    <row r="23" spans="1:6" x14ac:dyDescent="0.3">
      <c r="A23" s="9" t="s">
        <v>41</v>
      </c>
      <c r="B23" t="s">
        <v>42</v>
      </c>
    </row>
    <row r="25" spans="1:6" x14ac:dyDescent="0.3">
      <c r="A25" s="9" t="s">
        <v>25</v>
      </c>
      <c r="B25" t="s">
        <v>40</v>
      </c>
      <c r="D25" t="s">
        <v>78</v>
      </c>
      <c r="E25" t="s">
        <v>72</v>
      </c>
    </row>
    <row r="26" spans="1:6" x14ac:dyDescent="0.3">
      <c r="A26" s="11" t="s">
        <v>44</v>
      </c>
      <c r="B26">
        <v>160</v>
      </c>
      <c r="D26" s="11" t="s">
        <v>44</v>
      </c>
      <c r="E26">
        <v>160</v>
      </c>
    </row>
    <row r="27" spans="1:6" x14ac:dyDescent="0.3">
      <c r="A27" s="11" t="s">
        <v>45</v>
      </c>
      <c r="B27">
        <v>145.42857142857142</v>
      </c>
      <c r="D27" s="11" t="s">
        <v>45</v>
      </c>
      <c r="E27">
        <v>145.42857142857142</v>
      </c>
    </row>
    <row r="28" spans="1:6" x14ac:dyDescent="0.3">
      <c r="A28" s="11" t="s">
        <v>46</v>
      </c>
      <c r="B28">
        <v>180.25</v>
      </c>
      <c r="D28" s="11" t="s">
        <v>46</v>
      </c>
      <c r="E28">
        <v>180.25</v>
      </c>
    </row>
    <row r="29" spans="1:6" x14ac:dyDescent="0.3">
      <c r="A29" s="11" t="s">
        <v>47</v>
      </c>
      <c r="B29">
        <v>188.75</v>
      </c>
      <c r="D29" s="11" t="s">
        <v>47</v>
      </c>
      <c r="E29">
        <v>188.75</v>
      </c>
    </row>
    <row r="30" spans="1:6" x14ac:dyDescent="0.3">
      <c r="A30" s="11" t="s">
        <v>48</v>
      </c>
      <c r="B30">
        <v>55</v>
      </c>
    </row>
    <row r="31" spans="1:6" x14ac:dyDescent="0.3">
      <c r="A31" s="11" t="s">
        <v>26</v>
      </c>
      <c r="B31">
        <v>165.76315789473685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Sales</vt:lpstr>
      <vt:lpstr>Grade Formula</vt:lpstr>
      <vt:lpstr>transit mixers</vt:lpstr>
      <vt:lpstr>Descriptive Sats</vt:lpstr>
      <vt:lpstr>Customer segmentation</vt:lpstr>
      <vt:lpstr>Result and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reddy</dc:creator>
  <cp:lastModifiedBy>praneetha 50</cp:lastModifiedBy>
  <dcterms:created xsi:type="dcterms:W3CDTF">2025-06-06T09:17:04Z</dcterms:created>
  <dcterms:modified xsi:type="dcterms:W3CDTF">2026-05-28T16:35:16Z</dcterms:modified>
</cp:coreProperties>
</file>